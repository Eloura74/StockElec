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uentin\Synology\CE Administratif\SynologyDrive\ADMINISTRATIF - COMPTABILITÉ\INVENTAIRE\"/>
    </mc:Choice>
  </mc:AlternateContent>
  <xr:revisionPtr revIDLastSave="0" documentId="8_{EB87C393-077C-476A-8970-ABA309215055}" xr6:coauthVersionLast="47" xr6:coauthVersionMax="47" xr10:uidLastSave="{00000000-0000-0000-0000-000000000000}"/>
  <bookViews>
    <workbookView xWindow="-120" yWindow="-120" windowWidth="29040" windowHeight="16440" xr2:uid="{8A0E074C-6BFC-4D84-AB4A-ABC5C14523D1}"/>
  </bookViews>
  <sheets>
    <sheet name="Suivi du Stoc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17" i="1" l="1"/>
  <c r="I1614" i="1"/>
  <c r="I732" i="1"/>
  <c r="I730" i="1"/>
  <c r="I718" i="1"/>
  <c r="I2438" i="1"/>
  <c r="I2439" i="1"/>
  <c r="I2440" i="1"/>
  <c r="I2441" i="1"/>
  <c r="I2442" i="1"/>
  <c r="I2443" i="1"/>
  <c r="I2444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462" i="1"/>
  <c r="I2463" i="1"/>
  <c r="I2464" i="1"/>
  <c r="I2465" i="1"/>
  <c r="I2466" i="1"/>
  <c r="I2468" i="1"/>
  <c r="I2433" i="1"/>
  <c r="I2434" i="1"/>
  <c r="I2435" i="1"/>
  <c r="I2436" i="1"/>
  <c r="I2437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7" i="1"/>
  <c r="I2469" i="1"/>
  <c r="I2470" i="1"/>
  <c r="I2471" i="1"/>
  <c r="I2472" i="1"/>
  <c r="I2473" i="1"/>
  <c r="I2474" i="1"/>
  <c r="I2475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303" i="1"/>
  <c r="I2304" i="1"/>
  <c r="I2305" i="1"/>
  <c r="I2306" i="1"/>
  <c r="I2307" i="1"/>
  <c r="I2308" i="1"/>
  <c r="I2309" i="1"/>
  <c r="I2310" i="1"/>
  <c r="I2311" i="1"/>
  <c r="I2266" i="1"/>
  <c r="I2267" i="1"/>
  <c r="I2268" i="1"/>
  <c r="I2269" i="1"/>
  <c r="I2301" i="1"/>
  <c r="I2302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70" i="1"/>
  <c r="I2271" i="1"/>
  <c r="I2272" i="1"/>
  <c r="I2273" i="1"/>
  <c r="I2274" i="1"/>
  <c r="I2275" i="1"/>
  <c r="I2276" i="1"/>
  <c r="I2277" i="1"/>
  <c r="I2278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7" i="1"/>
  <c r="I2178" i="1"/>
  <c r="I2179" i="1"/>
  <c r="I2180" i="1"/>
  <c r="I2181" i="1"/>
  <c r="I2182" i="1"/>
  <c r="I2183" i="1"/>
  <c r="I2184" i="1"/>
  <c r="I2185" i="1"/>
  <c r="I2156" i="1"/>
  <c r="I2175" i="1"/>
  <c r="I2176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30" i="1"/>
  <c r="I2131" i="1"/>
  <c r="I2132" i="1"/>
  <c r="I2133" i="1"/>
  <c r="I2128" i="1"/>
  <c r="I2129" i="1"/>
  <c r="I2134" i="1"/>
  <c r="I2135" i="1"/>
  <c r="I2136" i="1"/>
  <c r="I2137" i="1"/>
  <c r="I2138" i="1"/>
  <c r="I2139" i="1"/>
  <c r="I2140" i="1"/>
  <c r="I2141" i="1"/>
  <c r="I2142" i="1"/>
  <c r="I2143" i="1"/>
  <c r="I2144" i="1"/>
  <c r="I2013" i="1"/>
  <c r="I2014" i="1"/>
  <c r="I2015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6" i="1"/>
  <c r="I2017" i="1"/>
  <c r="I2018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857" i="1"/>
  <c r="I1858" i="1"/>
  <c r="I1859" i="1"/>
  <c r="I1860" i="1"/>
  <c r="I1861" i="1"/>
  <c r="I1862" i="1"/>
  <c r="I1863" i="1"/>
  <c r="I1864" i="1"/>
  <c r="I1692" i="1"/>
  <c r="I1693" i="1"/>
  <c r="I1694" i="1"/>
  <c r="I1695" i="1"/>
  <c r="I1691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282" i="1"/>
  <c r="I1283" i="1"/>
  <c r="I1284" i="1"/>
  <c r="I1281" i="1"/>
  <c r="I1285" i="1"/>
  <c r="I1286" i="1"/>
  <c r="I1287" i="1"/>
  <c r="I1288" i="1"/>
  <c r="I1289" i="1"/>
  <c r="I1290" i="1"/>
  <c r="I1291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30" i="1"/>
  <c r="I43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167" i="1"/>
  <c r="I130" i="1"/>
  <c r="I131" i="1"/>
  <c r="I132" i="1"/>
  <c r="I133" i="1"/>
  <c r="I134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06" i="1"/>
  <c r="I105" i="1"/>
  <c r="I104" i="1"/>
  <c r="I103" i="1"/>
  <c r="I102" i="1"/>
  <c r="I101" i="1"/>
  <c r="I100" i="1"/>
  <c r="I99" i="1"/>
  <c r="I98" i="1"/>
  <c r="I95" i="1"/>
  <c r="I96" i="1"/>
  <c r="I97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84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35" i="1"/>
  <c r="I136" i="1"/>
  <c r="I137" i="1"/>
  <c r="I138" i="1"/>
  <c r="I59" i="1"/>
  <c r="I60" i="1"/>
  <c r="I61" i="1"/>
  <c r="I62" i="1"/>
  <c r="I63" i="1"/>
  <c r="I64" i="1"/>
  <c r="I65" i="1"/>
  <c r="I66" i="1"/>
  <c r="I67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5" i="1"/>
  <c r="I1616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2221" i="1"/>
  <c r="I1876" i="1"/>
  <c r="I1885" i="1"/>
  <c r="I1824" i="1"/>
  <c r="I1821" i="1"/>
  <c r="I1822" i="1"/>
  <c r="I2409" i="1"/>
  <c r="I2411" i="1"/>
  <c r="I2352" i="1"/>
  <c r="I2410" i="1"/>
  <c r="I2102" i="1"/>
  <c r="I2090" i="1"/>
  <c r="I2099" i="1"/>
  <c r="I2101" i="1"/>
  <c r="I2105" i="1"/>
  <c r="I2093" i="1"/>
  <c r="I2103" i="1"/>
  <c r="I2095" i="1"/>
  <c r="I2098" i="1"/>
  <c r="I2097" i="1"/>
  <c r="I2106" i="1"/>
  <c r="I2084" i="1"/>
  <c r="I2085" i="1"/>
  <c r="I2086" i="1"/>
  <c r="I2087" i="1"/>
  <c r="I2088" i="1"/>
  <c r="I2089" i="1"/>
  <c r="I2091" i="1"/>
  <c r="I2092" i="1"/>
  <c r="I2094" i="1"/>
  <c r="I2096" i="1"/>
  <c r="I2100" i="1"/>
  <c r="I1770" i="1" l="1"/>
  <c r="I1718" i="1"/>
  <c r="I1719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104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45" i="1"/>
  <c r="I2146" i="1"/>
  <c r="I2147" i="1"/>
  <c r="I2148" i="1"/>
  <c r="I2149" i="1"/>
  <c r="I2150" i="1"/>
  <c r="I2151" i="1"/>
  <c r="I2152" i="1"/>
  <c r="I2153" i="1"/>
  <c r="I2154" i="1"/>
  <c r="I2155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49" i="1"/>
  <c r="I2350" i="1"/>
  <c r="I2351" i="1"/>
  <c r="I2353" i="1"/>
  <c r="I2354" i="1"/>
  <c r="I2407" i="1"/>
  <c r="I2408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1932" i="1"/>
  <c r="I1933" i="1"/>
  <c r="I1934" i="1"/>
  <c r="I1935" i="1"/>
  <c r="I1936" i="1"/>
  <c r="I1937" i="1"/>
  <c r="I1938" i="1"/>
  <c r="I1939" i="1"/>
  <c r="I1940" i="1"/>
  <c r="I1931" i="1" l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4" i="1"/>
  <c r="I1883" i="1"/>
  <c r="I1882" i="1"/>
  <c r="I1881" i="1"/>
  <c r="I1880" i="1"/>
  <c r="I1879" i="1"/>
  <c r="I1878" i="1"/>
  <c r="I1877" i="1"/>
  <c r="I1875" i="1"/>
  <c r="I1874" i="1"/>
  <c r="I1873" i="1"/>
  <c r="I1872" i="1"/>
  <c r="I1871" i="1"/>
  <c r="I1870" i="1"/>
  <c r="I1869" i="1"/>
  <c r="I1868" i="1"/>
  <c r="I1867" i="1"/>
  <c r="I1866" i="1"/>
  <c r="I1865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3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7" i="1"/>
  <c r="I1716" i="1"/>
  <c r="I1715" i="1"/>
  <c r="I1714" i="1"/>
  <c r="I1713" i="1"/>
  <c r="I1712" i="1"/>
  <c r="I1711" i="1"/>
  <c r="I1710" i="1"/>
  <c r="I1709" i="1"/>
  <c r="I1708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00" i="1"/>
  <c r="I1599" i="1"/>
  <c r="I1598" i="1"/>
  <c r="I1597" i="1"/>
  <c r="I1596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267" i="1"/>
  <c r="I1224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43" i="1"/>
  <c r="I1138" i="1"/>
  <c r="I1136" i="1"/>
  <c r="I1140" i="1"/>
  <c r="I1137" i="1"/>
  <c r="I1088" i="1"/>
  <c r="I1128" i="1"/>
  <c r="I1127" i="1"/>
  <c r="I1130" i="1"/>
  <c r="I1144" i="1"/>
  <c r="I1145" i="1"/>
  <c r="I1142" i="1"/>
  <c r="I1141" i="1"/>
  <c r="I1139" i="1"/>
  <c r="I1135" i="1"/>
  <c r="I1134" i="1"/>
  <c r="I1133" i="1"/>
  <c r="I1132" i="1"/>
  <c r="I1131" i="1"/>
  <c r="I1129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7" i="1"/>
  <c r="I1086" i="1"/>
  <c r="I1085" i="1"/>
  <c r="I1146" i="1"/>
  <c r="I1148" i="1"/>
  <c r="I1147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36" i="1" l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895" i="1" l="1"/>
  <c r="I893" i="1"/>
  <c r="I891" i="1"/>
  <c r="I890" i="1"/>
  <c r="I882" i="1"/>
  <c r="I889" i="1"/>
  <c r="I887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3" i="1"/>
  <c r="I884" i="1"/>
  <c r="I885" i="1"/>
  <c r="I886" i="1"/>
  <c r="I888" i="1"/>
  <c r="I892" i="1"/>
  <c r="I894" i="1"/>
  <c r="I896" i="1"/>
  <c r="I897" i="1"/>
  <c r="I898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664" i="1"/>
  <c r="I704" i="1"/>
  <c r="I303" i="1"/>
  <c r="I304" i="1"/>
  <c r="I305" i="1"/>
  <c r="I306" i="1"/>
  <c r="I262" i="1"/>
  <c r="I255" i="1"/>
  <c r="I256" i="1"/>
  <c r="I257" i="1"/>
  <c r="I258" i="1"/>
  <c r="I259" i="1"/>
  <c r="I260" i="1"/>
  <c r="I261" i="1"/>
  <c r="I27" i="1"/>
  <c r="I28" i="1"/>
  <c r="I29" i="1"/>
  <c r="I30" i="1"/>
  <c r="I31" i="1"/>
  <c r="I32" i="1"/>
  <c r="I33" i="1"/>
  <c r="I34" i="1"/>
  <c r="I35" i="1"/>
  <c r="I17" i="1"/>
  <c r="I16" i="1"/>
  <c r="I15" i="1"/>
  <c r="I14" i="1"/>
  <c r="I85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58" i="1"/>
  <c r="I57" i="1"/>
  <c r="I56" i="1"/>
  <c r="I8" i="1"/>
  <c r="I671" i="1" l="1"/>
  <c r="I470" i="1"/>
  <c r="I547" i="1"/>
  <c r="I669" i="1" l="1"/>
  <c r="I670" i="1"/>
  <c r="I370" i="1"/>
  <c r="I371" i="1"/>
  <c r="I976" i="1"/>
  <c r="I984" i="1"/>
  <c r="I982" i="1"/>
  <c r="I977" i="1"/>
  <c r="I980" i="1"/>
  <c r="I981" i="1"/>
  <c r="I974" i="1"/>
  <c r="I973" i="1"/>
  <c r="I975" i="1"/>
  <c r="I978" i="1"/>
  <c r="I967" i="1"/>
  <c r="I968" i="1"/>
  <c r="I970" i="1"/>
  <c r="I969" i="1"/>
  <c r="I971" i="1"/>
  <c r="I972" i="1"/>
  <c r="I954" i="1"/>
  <c r="I979" i="1"/>
  <c r="I956" i="1"/>
  <c r="I959" i="1"/>
  <c r="I955" i="1"/>
  <c r="I960" i="1"/>
  <c r="I958" i="1"/>
  <c r="I961" i="1"/>
  <c r="I957" i="1"/>
  <c r="I963" i="1"/>
  <c r="I962" i="1"/>
  <c r="I953" i="1"/>
  <c r="I964" i="1"/>
  <c r="I966" i="1"/>
  <c r="I965" i="1"/>
  <c r="I1027" i="1"/>
  <c r="I1030" i="1"/>
  <c r="I1029" i="1"/>
  <c r="I1026" i="1"/>
  <c r="I1028" i="1"/>
  <c r="I1031" i="1"/>
  <c r="I1032" i="1"/>
  <c r="I618" i="1"/>
  <c r="I668" i="1"/>
  <c r="I194" i="1"/>
  <c r="I193" i="1"/>
  <c r="I192" i="1"/>
  <c r="I451" i="1"/>
  <c r="I449" i="1"/>
  <c r="I447" i="1"/>
  <c r="I446" i="1"/>
  <c r="I442" i="1"/>
  <c r="I448" i="1"/>
  <c r="I445" i="1"/>
  <c r="I443" i="1"/>
  <c r="I444" i="1"/>
  <c r="I450" i="1"/>
  <c r="I830" i="1"/>
  <c r="I731" i="1"/>
  <c r="I733" i="1"/>
  <c r="I793" i="1"/>
  <c r="I796" i="1"/>
  <c r="I784" i="1"/>
  <c r="I790" i="1"/>
  <c r="I745" i="1"/>
  <c r="I794" i="1"/>
  <c r="I741" i="1"/>
  <c r="I740" i="1"/>
  <c r="I739" i="1"/>
  <c r="I752" i="1"/>
  <c r="I707" i="1"/>
  <c r="I706" i="1"/>
  <c r="I705" i="1"/>
  <c r="I703" i="1"/>
  <c r="I701" i="1"/>
  <c r="I702" i="1"/>
  <c r="I691" i="1"/>
  <c r="I686" i="1"/>
  <c r="I681" i="1"/>
  <c r="I683" i="1"/>
  <c r="I682" i="1"/>
  <c r="I1033" i="1"/>
  <c r="I1024" i="1"/>
  <c r="I821" i="1"/>
  <c r="I1025" i="1"/>
  <c r="I1034" i="1"/>
  <c r="I624" i="1"/>
  <c r="I1023" i="1"/>
  <c r="I825" i="1"/>
  <c r="I824" i="1"/>
  <c r="I820" i="1"/>
  <c r="I823" i="1"/>
  <c r="I826" i="1"/>
  <c r="I539" i="1"/>
  <c r="I822" i="1"/>
  <c r="I441" i="1"/>
  <c r="I440" i="1"/>
  <c r="I435" i="1"/>
  <c r="I438" i="1"/>
  <c r="I439" i="1"/>
  <c r="I437" i="1"/>
  <c r="I424" i="1"/>
  <c r="I337" i="1"/>
  <c r="I404" i="1"/>
  <c r="I409" i="1"/>
  <c r="I155" i="1"/>
  <c r="I153" i="1"/>
  <c r="I156" i="1"/>
  <c r="I152" i="1"/>
  <c r="I127" i="1"/>
  <c r="I154" i="1"/>
  <c r="I151" i="1"/>
  <c r="I125" i="1"/>
  <c r="I122" i="1"/>
  <c r="I124" i="1"/>
  <c r="I128" i="1"/>
  <c r="I126" i="1"/>
  <c r="I129" i="1"/>
  <c r="I93" i="1"/>
  <c r="I121" i="1"/>
  <c r="I94" i="1"/>
  <c r="I123" i="1"/>
  <c r="I120" i="1"/>
  <c r="I617" i="1"/>
  <c r="I616" i="1"/>
  <c r="I615" i="1"/>
  <c r="I609" i="1"/>
  <c r="I619" i="1"/>
  <c r="I574" i="1"/>
  <c r="I575" i="1"/>
  <c r="I585" i="1"/>
  <c r="I693" i="1"/>
  <c r="I694" i="1"/>
  <c r="I695" i="1"/>
  <c r="I584" i="1"/>
  <c r="I525" i="1"/>
  <c r="I692" i="1"/>
  <c r="I583" i="1"/>
  <c r="I527" i="1"/>
  <c r="I528" i="1"/>
  <c r="I526" i="1"/>
  <c r="I529" i="1"/>
  <c r="I272" i="1"/>
  <c r="I225" i="1"/>
  <c r="I273" i="1"/>
  <c r="I274" i="1"/>
  <c r="I925" i="1"/>
  <c r="I224" i="1"/>
  <c r="I223" i="1"/>
  <c r="I217" i="1"/>
  <c r="I214" i="1"/>
  <c r="I215" i="1"/>
  <c r="I213" i="1"/>
  <c r="I220" i="1"/>
  <c r="I222" i="1"/>
  <c r="I219" i="1"/>
  <c r="I221" i="1"/>
  <c r="I928" i="1"/>
  <c r="I913" i="1"/>
  <c r="I229" i="1"/>
  <c r="I228" i="1"/>
  <c r="I230" i="1"/>
  <c r="I929" i="1"/>
  <c r="I938" i="1"/>
  <c r="I927" i="1"/>
  <c r="I908" i="1"/>
  <c r="I919" i="1"/>
  <c r="I918" i="1"/>
  <c r="I921" i="1"/>
  <c r="I922" i="1"/>
  <c r="I915" i="1"/>
  <c r="I923" i="1"/>
  <c r="I920" i="1"/>
  <c r="I924" i="1"/>
  <c r="I926" i="1"/>
  <c r="I916" i="1"/>
  <c r="I914" i="1"/>
  <c r="I917" i="1"/>
  <c r="I902" i="1"/>
  <c r="I903" i="1"/>
  <c r="I905" i="1"/>
  <c r="I901" i="1"/>
  <c r="I904" i="1"/>
  <c r="I560" i="1"/>
  <c r="I280" i="1" l="1"/>
  <c r="I162" i="1"/>
  <c r="I601" i="1"/>
  <c r="I573" i="1"/>
  <c r="I932" i="1"/>
  <c r="I644" i="1"/>
  <c r="I263" i="1"/>
  <c r="I620" i="1"/>
  <c r="I572" i="1"/>
  <c r="I930" i="1"/>
  <c r="I642" i="1"/>
  <c r="I271" i="1"/>
  <c r="I599" i="1"/>
  <c r="I576" i="1"/>
  <c r="I912" i="1"/>
  <c r="I308" i="1"/>
  <c r="I264" i="1"/>
  <c r="I266" i="1"/>
  <c r="I598" i="1"/>
  <c r="I653" i="1"/>
  <c r="I948" i="1"/>
  <c r="I548" i="1"/>
  <c r="I164" i="1"/>
  <c r="I600" i="1"/>
  <c r="I652" i="1"/>
  <c r="I949" i="1"/>
  <c r="I565" i="1"/>
  <c r="I265" i="1"/>
  <c r="I628" i="1"/>
  <c r="I654" i="1"/>
  <c r="I947" i="1"/>
  <c r="I566" i="1"/>
  <c r="I269" i="1"/>
  <c r="I597" i="1"/>
  <c r="I588" i="1"/>
  <c r="I950" i="1"/>
  <c r="I563" i="1"/>
  <c r="I166" i="1"/>
  <c r="I586" i="1"/>
  <c r="I650" i="1"/>
  <c r="I945" i="1"/>
  <c r="I161" i="1"/>
  <c r="I267" i="1"/>
  <c r="I582" i="1"/>
  <c r="I469" i="1"/>
  <c r="I935" i="1"/>
  <c r="I621" i="1"/>
  <c r="I643" i="1"/>
  <c r="I238" i="1"/>
  <c r="I270" i="1"/>
  <c r="I581" i="1"/>
  <c r="I608" i="1"/>
  <c r="I936" i="1"/>
  <c r="I623" i="1"/>
  <c r="I910" i="1"/>
  <c r="I937" i="1"/>
  <c r="I580" i="1"/>
  <c r="I911" i="1"/>
  <c r="I278" i="1"/>
  <c r="I647" i="1"/>
  <c r="I277" i="1"/>
  <c r="I239" i="1"/>
  <c r="I645" i="1"/>
  <c r="I800" i="1"/>
  <c r="I906" i="1"/>
  <c r="I163" i="1"/>
  <c r="I561" i="1"/>
  <c r="I240" i="1"/>
  <c r="I662" i="1"/>
  <c r="I579" i="1"/>
  <c r="I237" i="1"/>
  <c r="I729" i="1"/>
  <c r="I288" i="1"/>
  <c r="I233" i="1"/>
  <c r="I646" i="1"/>
  <c r="I909" i="1"/>
  <c r="I622" i="1"/>
  <c r="I268" i="1"/>
  <c r="I661" i="1"/>
  <c r="I900" i="1"/>
  <c r="I803" i="1"/>
  <c r="I931" i="1"/>
  <c r="I293" i="1"/>
  <c r="I159" i="1"/>
  <c r="I625" i="1"/>
  <c r="I570" i="1"/>
  <c r="I627" i="1"/>
  <c r="I933" i="1"/>
  <c r="I160" i="1"/>
  <c r="I934" i="1"/>
  <c r="I907" i="1"/>
  <c r="I300" i="1"/>
  <c r="I165" i="1"/>
  <c r="I626" i="1"/>
  <c r="I571" i="1"/>
  <c r="I899" i="1"/>
  <c r="I281" i="1"/>
  <c r="I275" i="1"/>
  <c r="I538" i="1"/>
  <c r="I537" i="1"/>
  <c r="I546" i="1"/>
  <c r="I506" i="1"/>
  <c r="I545" i="1"/>
  <c r="I535" i="1"/>
  <c r="I452" i="1"/>
  <c r="I332" i="1"/>
  <c r="I276" i="1"/>
  <c r="I348" i="1" l="1"/>
  <c r="I534" i="1"/>
  <c r="I747" i="1"/>
  <c r="I814" i="1"/>
  <c r="I471" i="1"/>
  <c r="I454" i="1"/>
  <c r="I514" i="1"/>
  <c r="I22" i="1"/>
  <c r="I839" i="1"/>
  <c r="I996" i="1"/>
  <c r="I307" i="1"/>
  <c r="I53" i="1"/>
  <c r="I406" i="1"/>
  <c r="I649" i="1"/>
  <c r="I771" i="1"/>
  <c r="I801" i="1"/>
  <c r="I1035" i="1"/>
  <c r="I52" i="1"/>
  <c r="I353" i="1"/>
  <c r="I396" i="1"/>
  <c r="I536" i="1"/>
  <c r="I665" i="1"/>
  <c r="I737" i="1"/>
  <c r="I472" i="1"/>
  <c r="I804" i="1"/>
  <c r="I519" i="1"/>
  <c r="I226" i="1"/>
  <c r="I232" i="1"/>
  <c r="I611" i="1"/>
  <c r="I719" i="1"/>
  <c r="I18" i="1"/>
  <c r="I761" i="1"/>
  <c r="I1018" i="1"/>
  <c r="I770" i="1"/>
  <c r="I505" i="1"/>
  <c r="I751" i="1"/>
  <c r="I992" i="1"/>
  <c r="I562" i="1"/>
  <c r="I607" i="1"/>
  <c r="I465" i="1"/>
  <c r="I832" i="1"/>
  <c r="I313" i="1"/>
  <c r="I204" i="1"/>
  <c r="I355" i="1"/>
  <c r="I336" i="1"/>
  <c r="I412" i="1"/>
  <c r="I86" i="1"/>
  <c r="I21" i="1"/>
  <c r="I466" i="1"/>
  <c r="I577" i="1"/>
  <c r="I666" i="1"/>
  <c r="I716" i="1"/>
  <c r="I202" i="1"/>
  <c r="I736" i="1"/>
  <c r="I765" i="1"/>
  <c r="I762" i="1"/>
  <c r="I943" i="1"/>
  <c r="I476" i="1"/>
  <c r="I198" i="1"/>
  <c r="I813" i="1"/>
  <c r="I941" i="1"/>
  <c r="I993" i="1"/>
  <c r="I559" i="1"/>
  <c r="I672" i="1"/>
  <c r="I234" i="1"/>
  <c r="I279" i="1"/>
  <c r="I87" i="1"/>
  <c r="I13" i="1"/>
  <c r="I354" i="1"/>
  <c r="I376" i="1"/>
  <c r="I405" i="1"/>
  <c r="I187" i="1"/>
  <c r="I429" i="1"/>
  <c r="I463" i="1"/>
  <c r="I551" i="1"/>
  <c r="I596" i="1"/>
  <c r="I720" i="1"/>
  <c r="I203" i="1"/>
  <c r="I757" i="1"/>
  <c r="I833" i="1"/>
  <c r="I995" i="1"/>
  <c r="I835" i="1"/>
  <c r="I475" i="1"/>
  <c r="I753" i="1"/>
  <c r="I805" i="1"/>
  <c r="I827" i="1"/>
  <c r="I991" i="1"/>
  <c r="I564" i="1"/>
  <c r="I372" i="1"/>
  <c r="I708" i="1"/>
  <c r="I231" i="1"/>
  <c r="I285" i="1"/>
  <c r="I24" i="1"/>
  <c r="I43" i="1"/>
  <c r="I357" i="1"/>
  <c r="I378" i="1"/>
  <c r="I403" i="1"/>
  <c r="I186" i="1"/>
  <c r="I432" i="1"/>
  <c r="I515" i="1"/>
  <c r="I554" i="1"/>
  <c r="I593" i="1"/>
  <c r="I667" i="1"/>
  <c r="I724" i="1"/>
  <c r="I211" i="1"/>
  <c r="I758" i="1"/>
  <c r="I782" i="1"/>
  <c r="I834" i="1"/>
  <c r="I494" i="1"/>
  <c r="I754" i="1"/>
  <c r="I748" i="1"/>
  <c r="I983" i="1"/>
  <c r="I595" i="1"/>
  <c r="I567" i="1"/>
  <c r="I549" i="1"/>
  <c r="I660" i="1"/>
  <c r="I338" i="1"/>
  <c r="I236" i="1"/>
  <c r="I282" i="1"/>
  <c r="I41" i="1"/>
  <c r="I379" i="1"/>
  <c r="I414" i="1"/>
  <c r="I189" i="1"/>
  <c r="I433" i="1"/>
  <c r="I521" i="1"/>
  <c r="I555" i="1"/>
  <c r="I592" i="1"/>
  <c r="I663" i="1"/>
  <c r="I721" i="1"/>
  <c r="I205" i="1"/>
  <c r="I760" i="1"/>
  <c r="I769" i="1"/>
  <c r="I985" i="1"/>
  <c r="I700" i="1"/>
  <c r="I474" i="1"/>
  <c r="I807" i="1"/>
  <c r="I951" i="1"/>
  <c r="I696" i="1"/>
  <c r="I697" i="1"/>
  <c r="I711" i="1"/>
  <c r="I312" i="1"/>
  <c r="I196" i="1"/>
  <c r="I90" i="1"/>
  <c r="I334" i="1"/>
  <c r="I359" i="1"/>
  <c r="I395" i="1"/>
  <c r="I413" i="1"/>
  <c r="I168" i="1"/>
  <c r="I436" i="1"/>
  <c r="I518" i="1"/>
  <c r="I558" i="1"/>
  <c r="I594" i="1"/>
  <c r="I722" i="1"/>
  <c r="I207" i="1"/>
  <c r="I776" i="1"/>
  <c r="I698" i="1"/>
  <c r="I690" i="1"/>
  <c r="I477" i="1"/>
  <c r="I727" i="1"/>
  <c r="I809" i="1"/>
  <c r="I1069" i="1"/>
  <c r="I988" i="1"/>
  <c r="I614" i="1"/>
  <c r="I648" i="1"/>
  <c r="I420" i="1"/>
  <c r="I218" i="1"/>
  <c r="I284" i="1"/>
  <c r="I453" i="1"/>
  <c r="I397" i="1"/>
  <c r="I426" i="1"/>
  <c r="I629" i="1"/>
  <c r="I768" i="1"/>
  <c r="I997" i="1"/>
  <c r="I640" i="1"/>
  <c r="I369" i="1"/>
  <c r="I612" i="1"/>
  <c r="I501" i="1"/>
  <c r="I157" i="1"/>
  <c r="I425" i="1"/>
  <c r="I637" i="1"/>
  <c r="I725" i="1"/>
  <c r="I496" i="1"/>
  <c r="I311" i="1"/>
  <c r="I9" i="1"/>
  <c r="I467" i="1"/>
  <c r="I605" i="1"/>
  <c r="I310" i="1"/>
  <c r="I54" i="1"/>
  <c r="I351" i="1"/>
  <c r="I400" i="1"/>
  <c r="I828" i="1"/>
  <c r="I88" i="1"/>
  <c r="I407" i="1"/>
  <c r="I516" i="1"/>
  <c r="I678" i="1"/>
  <c r="I781" i="1"/>
  <c r="I473" i="1"/>
  <c r="I544" i="1"/>
  <c r="I836" i="1"/>
  <c r="I283" i="1"/>
  <c r="I356" i="1"/>
  <c r="I522" i="1"/>
  <c r="I587" i="1"/>
  <c r="I838" i="1"/>
  <c r="I783" i="1"/>
  <c r="I989" i="1"/>
  <c r="I679" i="1"/>
  <c r="I946" i="1"/>
  <c r="I91" i="1"/>
  <c r="I394" i="1"/>
  <c r="I411" i="1"/>
  <c r="I520" i="1"/>
  <c r="I550" i="1"/>
  <c r="I658" i="1"/>
  <c r="I676" i="1"/>
  <c r="I717" i="1"/>
  <c r="I210" i="1"/>
  <c r="I726" i="1"/>
  <c r="I759" i="1"/>
  <c r="I944" i="1"/>
  <c r="I478" i="1"/>
  <c r="I802" i="1"/>
  <c r="I808" i="1"/>
  <c r="I994" i="1"/>
  <c r="I990" i="1"/>
  <c r="I613" i="1"/>
  <c r="I291" i="1"/>
  <c r="I290" i="1"/>
  <c r="I55" i="1"/>
  <c r="I349" i="1"/>
  <c r="I632" i="1"/>
  <c r="I841" i="1"/>
  <c r="I610" i="1"/>
  <c r="I309" i="1"/>
  <c r="I36" i="1"/>
  <c r="I455" i="1"/>
  <c r="I503" i="1"/>
  <c r="I374" i="1"/>
  <c r="I603" i="1"/>
  <c r="I502" i="1"/>
  <c r="I350" i="1"/>
  <c r="I427" i="1"/>
  <c r="I635" i="1"/>
  <c r="I746" i="1"/>
  <c r="I818" i="1"/>
  <c r="I20" i="1"/>
  <c r="I347" i="1"/>
  <c r="I410" i="1"/>
  <c r="I513" i="1"/>
  <c r="I569" i="1"/>
  <c r="I699" i="1"/>
  <c r="I750" i="1"/>
  <c r="I552" i="1"/>
  <c r="I39" i="1"/>
  <c r="I373" i="1"/>
  <c r="I602" i="1"/>
  <c r="I764" i="1"/>
  <c r="I786" i="1"/>
  <c r="I999" i="1"/>
  <c r="I23" i="1"/>
  <c r="I377" i="1"/>
  <c r="I428" i="1"/>
  <c r="I942" i="1"/>
  <c r="I48" i="1"/>
  <c r="I333" i="1"/>
  <c r="I191" i="1"/>
  <c r="I590" i="1"/>
  <c r="I209" i="1"/>
  <c r="I952" i="1"/>
  <c r="I987" i="1"/>
  <c r="I46" i="1"/>
  <c r="I339" i="1"/>
  <c r="I457" i="1"/>
  <c r="I541" i="1"/>
  <c r="I742" i="1"/>
  <c r="I688" i="1"/>
  <c r="I749" i="1"/>
  <c r="I543" i="1"/>
  <c r="I50" i="1"/>
  <c r="I362" i="1"/>
  <c r="I199" i="1"/>
  <c r="I341" i="1"/>
  <c r="I360" i="1"/>
  <c r="I190" i="1"/>
  <c r="I517" i="1"/>
  <c r="I589" i="1"/>
  <c r="I715" i="1"/>
  <c r="I780" i="1"/>
  <c r="I685" i="1"/>
  <c r="I795" i="1"/>
  <c r="I998" i="1"/>
  <c r="I297" i="1"/>
  <c r="I44" i="1"/>
  <c r="I6" i="1"/>
  <c r="I344" i="1"/>
  <c r="I158" i="1"/>
  <c r="I523" i="1"/>
  <c r="I675" i="1"/>
  <c r="I728" i="1"/>
  <c r="I493" i="1"/>
  <c r="I810" i="1"/>
  <c r="I940" i="1"/>
  <c r="I509" i="1"/>
  <c r="I939" i="1"/>
  <c r="I37" i="1"/>
  <c r="I45" i="1"/>
  <c r="I89" i="1"/>
  <c r="I458" i="1"/>
  <c r="I710" i="1"/>
  <c r="I677" i="1"/>
  <c r="I380" i="1"/>
  <c r="I738" i="1"/>
  <c r="I504" i="1"/>
  <c r="I817" i="1"/>
  <c r="I557" i="1"/>
  <c r="I512" i="1"/>
  <c r="I302" i="1"/>
  <c r="I42" i="1"/>
  <c r="I5" i="1"/>
  <c r="I343" i="1"/>
  <c r="I361" i="1"/>
  <c r="I416" i="1"/>
  <c r="I460" i="1"/>
  <c r="I531" i="1"/>
  <c r="I709" i="1"/>
  <c r="I630" i="1"/>
  <c r="I673" i="1"/>
  <c r="I206" i="1"/>
  <c r="I735" i="1"/>
  <c r="I775" i="1"/>
  <c r="I680" i="1"/>
  <c r="I500" i="1"/>
  <c r="I789" i="1"/>
  <c r="I829" i="1"/>
  <c r="I712" i="1"/>
  <c r="I1021" i="1"/>
  <c r="I507" i="1"/>
  <c r="I296" i="1"/>
  <c r="I299" i="1"/>
  <c r="I47" i="1"/>
  <c r="I368" i="1"/>
  <c r="I459" i="1"/>
  <c r="I26" i="1"/>
  <c r="I840" i="1"/>
  <c r="I497" i="1"/>
  <c r="I812" i="1"/>
  <c r="I556" i="1"/>
  <c r="I508" i="1"/>
  <c r="I298" i="1"/>
  <c r="I49" i="1"/>
  <c r="I11" i="1"/>
  <c r="I342" i="1"/>
  <c r="I366" i="1"/>
  <c r="I399" i="1"/>
  <c r="I423" i="1"/>
  <c r="I461" i="1"/>
  <c r="I418" i="1"/>
  <c r="I568" i="1"/>
  <c r="I633" i="1"/>
  <c r="I634" i="1"/>
  <c r="I779" i="1"/>
  <c r="I498" i="1"/>
  <c r="I799" i="1"/>
  <c r="I815" i="1"/>
  <c r="I289" i="1"/>
  <c r="I1019" i="1"/>
  <c r="I638" i="1"/>
  <c r="I286" i="1"/>
  <c r="I462" i="1"/>
  <c r="I798" i="1"/>
  <c r="I402" i="1"/>
  <c r="I713" i="1"/>
  <c r="I651" i="1"/>
  <c r="I774" i="1"/>
  <c r="I791" i="1"/>
  <c r="I530" i="1"/>
  <c r="I641" i="1"/>
  <c r="I375" i="1"/>
  <c r="I540" i="1"/>
  <c r="I763" i="1"/>
  <c r="I25" i="1"/>
  <c r="I195" i="1"/>
  <c r="I408" i="1"/>
  <c r="I714" i="1"/>
  <c r="I772" i="1"/>
  <c r="I819" i="1"/>
  <c r="I831" i="1"/>
  <c r="I468" i="1"/>
  <c r="I785" i="1"/>
  <c r="I197" i="1"/>
  <c r="I358" i="1"/>
  <c r="I381" i="1"/>
  <c r="I434" i="1"/>
  <c r="I542" i="1"/>
  <c r="I723" i="1"/>
  <c r="I755" i="1"/>
  <c r="I806" i="1"/>
  <c r="I235" i="1"/>
  <c r="I4" i="1"/>
  <c r="I659" i="1"/>
  <c r="I208" i="1"/>
  <c r="I766" i="1"/>
  <c r="I495" i="1"/>
  <c r="I986" i="1"/>
  <c r="I415" i="1"/>
  <c r="I200" i="1"/>
  <c r="I335" i="1"/>
  <c r="I188" i="1"/>
  <c r="I7" i="1"/>
  <c r="I367" i="1"/>
  <c r="I38" i="1"/>
  <c r="I553" i="1"/>
  <c r="I674" i="1"/>
  <c r="I212" i="1"/>
  <c r="I744" i="1"/>
  <c r="I756" i="1"/>
  <c r="I811" i="1"/>
  <c r="I510" i="1"/>
  <c r="I292" i="1"/>
  <c r="I340" i="1"/>
  <c r="I352" i="1"/>
  <c r="I417" i="1"/>
  <c r="I524" i="1"/>
  <c r="I591" i="1"/>
  <c r="I773" i="1"/>
  <c r="I684" i="1"/>
  <c r="I787" i="1"/>
  <c r="I294" i="1"/>
  <c r="I363" i="1"/>
  <c r="I419" i="1"/>
  <c r="I533" i="1"/>
  <c r="I657" i="1"/>
  <c r="I767" i="1"/>
  <c r="I687" i="1"/>
  <c r="I788" i="1"/>
  <c r="I295" i="1"/>
  <c r="I365" i="1"/>
  <c r="I201" i="1"/>
  <c r="I40" i="1"/>
  <c r="I10" i="1"/>
  <c r="I345" i="1"/>
  <c r="I398" i="1"/>
  <c r="I422" i="1"/>
  <c r="I532" i="1"/>
  <c r="I604" i="1"/>
  <c r="I655" i="1"/>
  <c r="I743" i="1"/>
  <c r="I777" i="1"/>
  <c r="I842" i="1"/>
  <c r="I792" i="1"/>
  <c r="I287" i="1"/>
  <c r="I1020" i="1"/>
  <c r="I639" i="1"/>
  <c r="I19" i="1"/>
  <c r="I51" i="1"/>
  <c r="I12" i="1"/>
  <c r="I346" i="1"/>
  <c r="I92" i="1"/>
  <c r="I364" i="1"/>
  <c r="I456" i="1"/>
  <c r="I421" i="1"/>
  <c r="I464" i="1"/>
  <c r="I401" i="1"/>
  <c r="I578" i="1"/>
  <c r="I656" i="1"/>
  <c r="I636" i="1"/>
  <c r="I734" i="1"/>
  <c r="I778" i="1"/>
  <c r="I837" i="1"/>
  <c r="I689" i="1"/>
  <c r="I499" i="1"/>
  <c r="I797" i="1"/>
  <c r="I816" i="1"/>
  <c r="I216" i="1"/>
  <c r="I606" i="1"/>
  <c r="I1022" i="1"/>
  <c r="I511" i="1"/>
  <c r="I631" i="1"/>
  <c r="I301" i="1"/>
  <c r="J1" i="1" l="1"/>
</calcChain>
</file>

<file path=xl/sharedStrings.xml><?xml version="1.0" encoding="utf-8"?>
<sst xmlns="http://schemas.openxmlformats.org/spreadsheetml/2006/main" count="4065" uniqueCount="1631">
  <si>
    <t>Inventaire du Stock avec Alerte du Stock Minimum</t>
  </si>
  <si>
    <t>Montant du Stock</t>
  </si>
  <si>
    <r>
      <rPr>
        <b/>
        <sz val="20"/>
        <color rgb="FF0ABEB5"/>
        <rFont val="Calibri"/>
        <family val="2"/>
        <scheme val="minor"/>
      </rPr>
      <t>Entrées</t>
    </r>
    <r>
      <rPr>
        <b/>
        <sz val="18"/>
        <color theme="1"/>
        <rFont val="Calibri"/>
        <family val="2"/>
        <scheme val="minor"/>
      </rPr>
      <t xml:space="preserve"> et </t>
    </r>
    <r>
      <rPr>
        <b/>
        <sz val="20"/>
        <color rgb="FFFF5E3E"/>
        <rFont val="Calibri"/>
        <family val="2"/>
        <scheme val="minor"/>
      </rPr>
      <t>Sorties</t>
    </r>
    <r>
      <rPr>
        <b/>
        <sz val="18"/>
        <color theme="1"/>
        <rFont val="Calibri"/>
        <family val="2"/>
        <scheme val="minor"/>
      </rPr>
      <t xml:space="preserve"> du STOCK</t>
    </r>
  </si>
  <si>
    <t>Désignation</t>
  </si>
  <si>
    <t>Stock
initial</t>
  </si>
  <si>
    <t>Entrée</t>
  </si>
  <si>
    <t>Sortie</t>
  </si>
  <si>
    <t>P.U.</t>
  </si>
  <si>
    <t>Valeur du Stock</t>
  </si>
  <si>
    <t>Date</t>
  </si>
  <si>
    <t>Fabriquant / marque</t>
  </si>
  <si>
    <t>Legrand</t>
  </si>
  <si>
    <t>Référence
Article</t>
  </si>
  <si>
    <t>B3</t>
  </si>
  <si>
    <t>gris</t>
  </si>
  <si>
    <t>HAGER</t>
  </si>
  <si>
    <t>SCHNEIDER</t>
  </si>
  <si>
    <t>A9Q11425</t>
  </si>
  <si>
    <t>A9P71610</t>
  </si>
  <si>
    <t>A9P12616</t>
  </si>
  <si>
    <t>A9P22620</t>
  </si>
  <si>
    <t>CCT15232</t>
  </si>
  <si>
    <t>GW 42007</t>
  </si>
  <si>
    <t>GW 42010</t>
  </si>
  <si>
    <t>40x30x12</t>
  </si>
  <si>
    <t>30x20x12</t>
  </si>
  <si>
    <t>GW 42006</t>
  </si>
  <si>
    <t>30x20x8</t>
  </si>
  <si>
    <t>GW 42009</t>
  </si>
  <si>
    <t>40x30x8</t>
  </si>
  <si>
    <t>294x152x75 deriv encastrer verte</t>
  </si>
  <si>
    <t>CONSOMABLES</t>
  </si>
  <si>
    <t>221-413</t>
  </si>
  <si>
    <t>wago 3 souples (bt 50)</t>
  </si>
  <si>
    <t>221-412</t>
  </si>
  <si>
    <t>wago 2 souples (bt100)</t>
  </si>
  <si>
    <t>221-415</t>
  </si>
  <si>
    <t>wago 5 souples (bt 25)</t>
  </si>
  <si>
    <t>80016N</t>
  </si>
  <si>
    <t>Scotchlok connecteur 314 (bt 50)</t>
  </si>
  <si>
    <t>boite simple placo (prof 40)</t>
  </si>
  <si>
    <t>boite simple placo (prof 50)</t>
  </si>
  <si>
    <t>boite double placo (prof 40)</t>
  </si>
  <si>
    <t>boite douple placo (prof 50)</t>
  </si>
  <si>
    <t>boite triple placo (prof 40)</t>
  </si>
  <si>
    <t>boite triple placo (prof 50)</t>
  </si>
  <si>
    <t>boite quadruple placo (prof 40)</t>
  </si>
  <si>
    <t>boite quadruple placo (prof 50)</t>
  </si>
  <si>
    <t>boite a maçonner (prof 50)</t>
  </si>
  <si>
    <t>boite a maçonner (prof 40)</t>
  </si>
  <si>
    <t xml:space="preserve">boite ronde </t>
  </si>
  <si>
    <t>boite rectangle</t>
  </si>
  <si>
    <t>boite carré (80x80)</t>
  </si>
  <si>
    <t>boite carré (10x10)</t>
  </si>
  <si>
    <t>GW48006PM</t>
  </si>
  <si>
    <t>GW48007PM</t>
  </si>
  <si>
    <t>196X152X75 deriv encastrer verte</t>
  </si>
  <si>
    <t>GW48008PM</t>
  </si>
  <si>
    <t>GW48009PM</t>
  </si>
  <si>
    <t>GW48007</t>
  </si>
  <si>
    <t>GW48008</t>
  </si>
  <si>
    <t>392X152X75 deriv a sceler</t>
  </si>
  <si>
    <t>294X152X75 deriv a sceler</t>
  </si>
  <si>
    <t>480X160X75 deriv encastrer verte</t>
  </si>
  <si>
    <t>392X152X75 deriv encatsrer verte</t>
  </si>
  <si>
    <t>GW48009</t>
  </si>
  <si>
    <t>480X160X75 deriv a sceler</t>
  </si>
  <si>
    <t xml:space="preserve">Emplacement </t>
  </si>
  <si>
    <t>A1</t>
  </si>
  <si>
    <t>A5</t>
  </si>
  <si>
    <t>A6</t>
  </si>
  <si>
    <t>A8</t>
  </si>
  <si>
    <t>A7</t>
  </si>
  <si>
    <t>A4</t>
  </si>
  <si>
    <t>SPIT</t>
  </si>
  <si>
    <t>A2</t>
  </si>
  <si>
    <t>bande perf 12x0.8 10m</t>
  </si>
  <si>
    <t xml:space="preserve"> bande perf 17x0.8 10m</t>
  </si>
  <si>
    <t>wago 2 eurohm (bt 100)</t>
  </si>
  <si>
    <t>wago 3 eurohm (bt 100)</t>
  </si>
  <si>
    <t>wago 4 eurohm (bt 100)</t>
  </si>
  <si>
    <t>wago 5 eurohm (bt 100)</t>
  </si>
  <si>
    <t>wago 2 souples 6²</t>
  </si>
  <si>
    <t>wago 3 souples 6²</t>
  </si>
  <si>
    <t xml:space="preserve">Boîte point de centre dcl </t>
  </si>
  <si>
    <t>Boîte luminaire app</t>
  </si>
  <si>
    <t>boite placo 32a</t>
  </si>
  <si>
    <t>boite deriv 170x120x40</t>
  </si>
  <si>
    <t>baptibox multi-mat 1 poste</t>
  </si>
  <si>
    <t>batibox multi-mat 2 postes</t>
  </si>
  <si>
    <t>RP1</t>
  </si>
  <si>
    <t>RP2</t>
  </si>
  <si>
    <t>RP3</t>
  </si>
  <si>
    <t>manchon D16</t>
  </si>
  <si>
    <t>manchon D20</t>
  </si>
  <si>
    <t>manchon D25</t>
  </si>
  <si>
    <t>manchon D32</t>
  </si>
  <si>
    <t>manchon TPC D40</t>
  </si>
  <si>
    <t>manchon TPC D50</t>
  </si>
  <si>
    <t>manchon TPC D63</t>
  </si>
  <si>
    <t>A3</t>
  </si>
  <si>
    <t>GEL</t>
  </si>
  <si>
    <t>LAP-GI16G</t>
  </si>
  <si>
    <t>LAP-GI20G</t>
  </si>
  <si>
    <t>LAP-GI25G</t>
  </si>
  <si>
    <t>LAP-GI32G</t>
  </si>
  <si>
    <t>Legrand PC SOL</t>
  </si>
  <si>
    <t>prise au sol ronde</t>
  </si>
  <si>
    <t>prrise au sol carré</t>
  </si>
  <si>
    <t>prise au sol double</t>
  </si>
  <si>
    <t>boite deriv plexo (175x150)</t>
  </si>
  <si>
    <t xml:space="preserve">Embase adhésive </t>
  </si>
  <si>
    <t xml:space="preserve">Legrand </t>
  </si>
  <si>
    <t>boite micromodule (prof 50)</t>
  </si>
  <si>
    <t>scotch couleur x10</t>
  </si>
  <si>
    <t>scotch blanc x10</t>
  </si>
  <si>
    <t>manchon TPC D125</t>
  </si>
  <si>
    <t>KJ100A</t>
  </si>
  <si>
    <t>ADC810F</t>
  </si>
  <si>
    <t>ADC816F</t>
  </si>
  <si>
    <t xml:space="preserve">Référence </t>
  </si>
  <si>
    <t>Meljac</t>
  </si>
  <si>
    <t xml:space="preserve">Boitier simple </t>
  </si>
  <si>
    <t xml:space="preserve">Finition/ couleur </t>
  </si>
  <si>
    <t xml:space="preserve">bleu </t>
  </si>
  <si>
    <t xml:space="preserve">Boitier double </t>
  </si>
  <si>
    <t xml:space="preserve">rouge </t>
  </si>
  <si>
    <t xml:space="preserve">Boitier triple </t>
  </si>
  <si>
    <t>vert</t>
  </si>
  <si>
    <t>Gewiss</t>
  </si>
  <si>
    <t>Stock final</t>
  </si>
  <si>
    <t>Kit cloisons séche</t>
  </si>
  <si>
    <t xml:space="preserve">Gaz cloueur </t>
  </si>
  <si>
    <t>Clipelec</t>
  </si>
  <si>
    <t xml:space="preserve">Clou 17 </t>
  </si>
  <si>
    <t>Clou 27</t>
  </si>
  <si>
    <t>Clou 22</t>
  </si>
  <si>
    <t xml:space="preserve">Berner </t>
  </si>
  <si>
    <t>Bande perf</t>
  </si>
  <si>
    <t>YOUR ESSENTIALS</t>
  </si>
  <si>
    <t>175ml</t>
  </si>
  <si>
    <t>300ml</t>
  </si>
  <si>
    <t>550ml</t>
  </si>
  <si>
    <t>Gel isolant 2x500ml</t>
  </si>
  <si>
    <t xml:space="preserve">GEL </t>
  </si>
  <si>
    <t>GW48010</t>
  </si>
  <si>
    <t>516x202x90 deriv a sceler</t>
  </si>
  <si>
    <t>GW48011</t>
  </si>
  <si>
    <t>516x294x90 deriv a secler</t>
  </si>
  <si>
    <t xml:space="preserve">boite PC sol béton </t>
  </si>
  <si>
    <t>boite pc sol multimatériaux</t>
  </si>
  <si>
    <t>batibox multimédia 142x142</t>
  </si>
  <si>
    <t>batibox multimédia 285x142</t>
  </si>
  <si>
    <t>wago 8 eurohm (bt 50)</t>
  </si>
  <si>
    <t>Berner 49597</t>
  </si>
  <si>
    <t>Berner 49602</t>
  </si>
  <si>
    <t>Berner 415627</t>
  </si>
  <si>
    <t>scotch alu</t>
  </si>
  <si>
    <t>boite a maçonner 32A</t>
  </si>
  <si>
    <t>batibox multi-mat 3 postes</t>
  </si>
  <si>
    <t>batibox étroite</t>
  </si>
  <si>
    <t>batibox 3 module</t>
  </si>
  <si>
    <t>couvercle a clips D80</t>
  </si>
  <si>
    <t xml:space="preserve">couvercle rond </t>
  </si>
  <si>
    <t xml:space="preserve">couvercle double </t>
  </si>
  <si>
    <t>couvercle simple carée</t>
  </si>
  <si>
    <t>Sorti cable 16A</t>
  </si>
  <si>
    <t>Sorti cable 32A</t>
  </si>
  <si>
    <t>B2</t>
  </si>
  <si>
    <t>R9PXH413</t>
  </si>
  <si>
    <t>peigne monobloc 3P+N 13M</t>
  </si>
  <si>
    <t>R9PXH418</t>
  </si>
  <si>
    <t>peigne monobloc 3P+N 18M</t>
  </si>
  <si>
    <t>R9PXH424</t>
  </si>
  <si>
    <t>peigne monobloc 3P+N 24M</t>
  </si>
  <si>
    <t>A9Y62625</t>
  </si>
  <si>
    <t>A9Y62640</t>
  </si>
  <si>
    <t>bloc diff 1P+N 25A (AC) 30mA</t>
  </si>
  <si>
    <t>bloc diff 1P+N 40A (AC) 30mA</t>
  </si>
  <si>
    <t>A9Y63625</t>
  </si>
  <si>
    <t>bloc diff 1P+N (AC) 300mA</t>
  </si>
  <si>
    <t>A9Q10225</t>
  </si>
  <si>
    <t>bloc diff 2P 25A (AC) 10mA</t>
  </si>
  <si>
    <t>A9P22610</t>
  </si>
  <si>
    <t>IDT40T 10A 1P+N (courbe C)</t>
  </si>
  <si>
    <t>IDT40K 10A 1P+N (courbe C)</t>
  </si>
  <si>
    <t>R9PFC616</t>
  </si>
  <si>
    <t>disjoncteur 16A 1P+N (courbe C)</t>
  </si>
  <si>
    <t>A9P22616</t>
  </si>
  <si>
    <t>IDT40T 16A 1P+N (courbe C)</t>
  </si>
  <si>
    <t>IDT40T 16A 1P+N (courbe B)</t>
  </si>
  <si>
    <t>IDT40T 20A 1P+N (courbe c)</t>
  </si>
  <si>
    <t>A9A15306</t>
  </si>
  <si>
    <t xml:space="preserve">Prise modulaire </t>
  </si>
  <si>
    <t>R9PCTH20</t>
  </si>
  <si>
    <t>contacteur heures creuses 2NO 20A</t>
  </si>
  <si>
    <t>A9N26969</t>
  </si>
  <si>
    <t>déclencheur Bp a ouverture 230VCA</t>
  </si>
  <si>
    <t>minuterie 30s/20mn 16A</t>
  </si>
  <si>
    <t>A9Y12725</t>
  </si>
  <si>
    <t>bloc diff Vigi 3P+N 25A (AC) 30mA</t>
  </si>
  <si>
    <t>bloc diff 4P 25A (AC) 30mA</t>
  </si>
  <si>
    <t>A9R14440</t>
  </si>
  <si>
    <t>interrupteur diff 4P 40A (AC) 300mA</t>
  </si>
  <si>
    <t>B4</t>
  </si>
  <si>
    <t>C5</t>
  </si>
  <si>
    <t>C1</t>
  </si>
  <si>
    <t>C2</t>
  </si>
  <si>
    <t>C3</t>
  </si>
  <si>
    <t>C4</t>
  </si>
  <si>
    <t>C6</t>
  </si>
  <si>
    <t>CDS764F</t>
  </si>
  <si>
    <t>interrupteur diff 2P 63A (AC) 30mA</t>
  </si>
  <si>
    <t>CDS765F</t>
  </si>
  <si>
    <t>CDC764F</t>
  </si>
  <si>
    <t>interrupteur diff 2P 63A (A) 30mA</t>
  </si>
  <si>
    <t>CDA765F</t>
  </si>
  <si>
    <t>CDC742F</t>
  </si>
  <si>
    <t>interrupteur diff 2P 40A (AC) 30mA</t>
  </si>
  <si>
    <t>NKN210</t>
  </si>
  <si>
    <t>disjoncteur 10A 2P</t>
  </si>
  <si>
    <t>répartiteur 100A</t>
  </si>
  <si>
    <t>KJ125B</t>
  </si>
  <si>
    <t>répartiteur 125A</t>
  </si>
  <si>
    <t>KJ160A</t>
  </si>
  <si>
    <t>répratiteur 160A</t>
  </si>
  <si>
    <t>KJ01A</t>
  </si>
  <si>
    <t>répartiteur mono</t>
  </si>
  <si>
    <t>disjoncteur diff 1P+N 10A (AC) 30mA</t>
  </si>
  <si>
    <t>disjoncteur diff 1P+N 16A (AC) 30mA</t>
  </si>
  <si>
    <t>ADF820F</t>
  </si>
  <si>
    <t>disjoncteur diff 1P+N 20A (AC) 30mA</t>
  </si>
  <si>
    <t>ADC732F</t>
  </si>
  <si>
    <t>disjoncteur diff 1P+N 32A (AC) 30mA</t>
  </si>
  <si>
    <t>NFN240</t>
  </si>
  <si>
    <t>NFN210</t>
  </si>
  <si>
    <t>NFN220</t>
  </si>
  <si>
    <t>disjoncteur 20A 2P</t>
  </si>
  <si>
    <t>NFN232</t>
  </si>
  <si>
    <t>disjoncteur 32A 2P</t>
  </si>
  <si>
    <t>disjoncteur 40A 2P</t>
  </si>
  <si>
    <t>NFN263</t>
  </si>
  <si>
    <t>disjoncteur 63A 2P</t>
  </si>
  <si>
    <t>NFN410</t>
  </si>
  <si>
    <t>disjoncteur 10A 4P</t>
  </si>
  <si>
    <t>disjoncteur 20A 4P</t>
  </si>
  <si>
    <t>disjoncteur 32A 4P</t>
  </si>
  <si>
    <t>disjoncteur 40A 4P</t>
  </si>
  <si>
    <t>NFN463</t>
  </si>
  <si>
    <t>disjoncteur 63A 4P</t>
  </si>
  <si>
    <t>NFT310</t>
  </si>
  <si>
    <t>disjoncteur 10A 3P</t>
  </si>
  <si>
    <t>NFN216</t>
  </si>
  <si>
    <t>disjoncteur 16A 2P</t>
  </si>
  <si>
    <t>NFT316</t>
  </si>
  <si>
    <t>disjoncteur 16A 3P</t>
  </si>
  <si>
    <t>disjoncteur 16A 4P</t>
  </si>
  <si>
    <t>NFN416</t>
  </si>
  <si>
    <t>NFT320</t>
  </si>
  <si>
    <t>disjoncteur 20A 3P</t>
  </si>
  <si>
    <t>disjoncteur 32A 3P</t>
  </si>
  <si>
    <t>disjoncteur 40A 3P</t>
  </si>
  <si>
    <t>NFT340</t>
  </si>
  <si>
    <t>NFT332</t>
  </si>
  <si>
    <t>NFN820</t>
  </si>
  <si>
    <t>NFN832</t>
  </si>
  <si>
    <t>NFN840</t>
  </si>
  <si>
    <t>C7</t>
  </si>
  <si>
    <t>MFS 702</t>
  </si>
  <si>
    <t>MFS 710</t>
  </si>
  <si>
    <t>MFS 716</t>
  </si>
  <si>
    <t>MFS 720</t>
  </si>
  <si>
    <t>MFS 732</t>
  </si>
  <si>
    <t>MFN 702</t>
  </si>
  <si>
    <t>MFN 710</t>
  </si>
  <si>
    <t>MFN 716</t>
  </si>
  <si>
    <t>MFN 720</t>
  </si>
  <si>
    <t>MFN 732</t>
  </si>
  <si>
    <t>disjoncteur 1P+N 2A</t>
  </si>
  <si>
    <t>disjoncteur 1P+N 10A</t>
  </si>
  <si>
    <t>disjoncteur 1P+N 16A</t>
  </si>
  <si>
    <t>disjoncteur 1P+N 20A</t>
  </si>
  <si>
    <t>disjoncteur 1P+N 32A</t>
  </si>
  <si>
    <t xml:space="preserve">sans vis </t>
  </si>
  <si>
    <t>MJT 702</t>
  </si>
  <si>
    <t>MJT 710</t>
  </si>
  <si>
    <t>MJT 716</t>
  </si>
  <si>
    <t>MJT 720</t>
  </si>
  <si>
    <t>MJT 732</t>
  </si>
  <si>
    <t>tarif jaune</t>
  </si>
  <si>
    <t>EPN510</t>
  </si>
  <si>
    <t>télerupteur 1f 230v</t>
  </si>
  <si>
    <t>EPN520</t>
  </si>
  <si>
    <t>télerupteur 2f 230v</t>
  </si>
  <si>
    <t>EPS510B</t>
  </si>
  <si>
    <t xml:space="preserve">télerupteur 1f 230v </t>
  </si>
  <si>
    <t>EPS410B</t>
  </si>
  <si>
    <t>télerupteur électronique 1f 230v</t>
  </si>
  <si>
    <t>EPS450B</t>
  </si>
  <si>
    <t>télerupteur électronique minuterie 1f</t>
  </si>
  <si>
    <t>EPN540</t>
  </si>
  <si>
    <t>télerupteur 4f 230v</t>
  </si>
  <si>
    <t>EPN515</t>
  </si>
  <si>
    <t>télerupteur 1o+1f 230v</t>
  </si>
  <si>
    <t>ETC225</t>
  </si>
  <si>
    <t>contacteur jour-nuit 25A 2f 230v</t>
  </si>
  <si>
    <t>ESC225</t>
  </si>
  <si>
    <t>contacteur 25A 2f 230v</t>
  </si>
  <si>
    <t>ETC225S</t>
  </si>
  <si>
    <t>contacteur silencieux jour-nuit 25A …</t>
  </si>
  <si>
    <t>C8</t>
  </si>
  <si>
    <t>D1</t>
  </si>
  <si>
    <t>LEGRAND</t>
  </si>
  <si>
    <t>CN0001</t>
  </si>
  <si>
    <t>enjoliveur inter/ bp</t>
  </si>
  <si>
    <t>noir</t>
  </si>
  <si>
    <t>CN2001</t>
  </si>
  <si>
    <t>enjoliveur double inter/ bp</t>
  </si>
  <si>
    <t>CN0111</t>
  </si>
  <si>
    <t>enjoliveur pc</t>
  </si>
  <si>
    <t>CN0346</t>
  </si>
  <si>
    <t>enjoliveur rj45</t>
  </si>
  <si>
    <t>CP0101</t>
  </si>
  <si>
    <t>plaue finition 1 poste</t>
  </si>
  <si>
    <t>CP0102</t>
  </si>
  <si>
    <t>plaue finition 2 poste</t>
  </si>
  <si>
    <t>CP0103</t>
  </si>
  <si>
    <t>plaque finition 3 poste</t>
  </si>
  <si>
    <t xml:space="preserve">noir </t>
  </si>
  <si>
    <t>D2</t>
  </si>
  <si>
    <t>CB0111</t>
  </si>
  <si>
    <t xml:space="preserve">blanc </t>
  </si>
  <si>
    <t>CB0001</t>
  </si>
  <si>
    <t xml:space="preserve">enjoliveur inter/ bp </t>
  </si>
  <si>
    <t xml:space="preserve">enjoliveur inter/ bp voyant </t>
  </si>
  <si>
    <t>CB2001</t>
  </si>
  <si>
    <t>CB0007</t>
  </si>
  <si>
    <t>CB0382</t>
  </si>
  <si>
    <t xml:space="preserve">Enjoliveur Tv </t>
  </si>
  <si>
    <t>CB0346</t>
  </si>
  <si>
    <t>Enjoliveur Rj</t>
  </si>
  <si>
    <t>blanc</t>
  </si>
  <si>
    <t>CP0001</t>
  </si>
  <si>
    <t xml:space="preserve">Plaque finition simple </t>
  </si>
  <si>
    <t>CP0002</t>
  </si>
  <si>
    <t>Plaque finition double</t>
  </si>
  <si>
    <t xml:space="preserve"> CP0003</t>
  </si>
  <si>
    <t>Plaque finition triple</t>
  </si>
  <si>
    <t>CP0004</t>
  </si>
  <si>
    <t>Plaque fintion quadruple</t>
  </si>
  <si>
    <t>D3</t>
  </si>
  <si>
    <t>CM0111</t>
  </si>
  <si>
    <t xml:space="preserve">Méca pc </t>
  </si>
  <si>
    <t>CM0001</t>
  </si>
  <si>
    <t>Méca va-et-vient</t>
  </si>
  <si>
    <t>CM0031</t>
  </si>
  <si>
    <t>Méca BP</t>
  </si>
  <si>
    <t>CM0382</t>
  </si>
  <si>
    <t>Méca Tv</t>
  </si>
  <si>
    <t>CM0346</t>
  </si>
  <si>
    <t>Méca RJ</t>
  </si>
  <si>
    <t>CM0348</t>
  </si>
  <si>
    <t xml:space="preserve">Méca Tv multiple </t>
  </si>
  <si>
    <t>CB0140</t>
  </si>
  <si>
    <t>Méca pc/usb</t>
  </si>
  <si>
    <t>D4</t>
  </si>
  <si>
    <t>LEGRAND MOSAIC</t>
  </si>
  <si>
    <t>077111L</t>
  </si>
  <si>
    <t>Méca Pc</t>
  </si>
  <si>
    <t>077011L</t>
  </si>
  <si>
    <t>Méca Inter</t>
  </si>
  <si>
    <t>077040L</t>
  </si>
  <si>
    <t>Méca Bp</t>
  </si>
  <si>
    <t>077001L</t>
  </si>
  <si>
    <t>Méca 1/2 Inter</t>
  </si>
  <si>
    <t>077033L</t>
  </si>
  <si>
    <t>Méca 1/2 Bp</t>
  </si>
  <si>
    <t>Méca Rj</t>
  </si>
  <si>
    <t>Méca 1/2 Rj</t>
  </si>
  <si>
    <t xml:space="preserve">Opturateur </t>
  </si>
  <si>
    <t>D6</t>
  </si>
  <si>
    <t>HAGER ESSENSYA</t>
  </si>
  <si>
    <t>WE100</t>
  </si>
  <si>
    <t>WE106</t>
  </si>
  <si>
    <t>Méca Pc affleurante</t>
  </si>
  <si>
    <t>WE144</t>
  </si>
  <si>
    <t>Méca Pc+ Usb c</t>
  </si>
  <si>
    <t>WE001</t>
  </si>
  <si>
    <t xml:space="preserve">Méca inter </t>
  </si>
  <si>
    <t>WE022</t>
  </si>
  <si>
    <t>Méca Inter &amp; Bp</t>
  </si>
  <si>
    <t>WE040</t>
  </si>
  <si>
    <t>Méca 2 Bp</t>
  </si>
  <si>
    <t>WE044</t>
  </si>
  <si>
    <t>Méca 2Inter &amp; Bp</t>
  </si>
  <si>
    <t>WE224</t>
  </si>
  <si>
    <t>WE250</t>
  </si>
  <si>
    <t>WE157</t>
  </si>
  <si>
    <t xml:space="preserve">Obturateur </t>
  </si>
  <si>
    <t>WE697</t>
  </si>
  <si>
    <t>Griffes longues</t>
  </si>
  <si>
    <t>WE401</t>
  </si>
  <si>
    <t xml:space="preserve">Plque finition simple </t>
  </si>
  <si>
    <t>WE402</t>
  </si>
  <si>
    <t xml:space="preserve">Plaque finition double </t>
  </si>
  <si>
    <t>WE403</t>
  </si>
  <si>
    <t>WE404</t>
  </si>
  <si>
    <t>Plque finition triple</t>
  </si>
  <si>
    <t xml:space="preserve">Plaque finition quadruple </t>
  </si>
  <si>
    <t>D7</t>
  </si>
  <si>
    <t>Legrand Plexo</t>
  </si>
  <si>
    <t>069731L</t>
  </si>
  <si>
    <t>PC Complet</t>
  </si>
  <si>
    <t xml:space="preserve">gris </t>
  </si>
  <si>
    <t>069551L</t>
  </si>
  <si>
    <t>meca pc</t>
  </si>
  <si>
    <t>069511L</t>
  </si>
  <si>
    <t xml:space="preserve">Va-et-vient </t>
  </si>
  <si>
    <t xml:space="preserve">Legrand Plexo </t>
  </si>
  <si>
    <t>069540L</t>
  </si>
  <si>
    <t xml:space="preserve">BP </t>
  </si>
  <si>
    <t>069525L</t>
  </si>
  <si>
    <t>double inter ou Bp</t>
  </si>
  <si>
    <t>069681L</t>
  </si>
  <si>
    <t>Support encastré 1 poste</t>
  </si>
  <si>
    <t>069683L</t>
  </si>
  <si>
    <t>Support encastré 2 postes</t>
  </si>
  <si>
    <t>069687L</t>
  </si>
  <si>
    <t xml:space="preserve">Support encastré 3 postes </t>
  </si>
  <si>
    <t>069651L</t>
  </si>
  <si>
    <t>boitier 1 poste saillie</t>
  </si>
  <si>
    <t>069672L</t>
  </si>
  <si>
    <t xml:space="preserve">boitier 2 postes saillie </t>
  </si>
  <si>
    <t>069680L</t>
  </si>
  <si>
    <t xml:space="preserve">boitier 3 postes saillie </t>
  </si>
  <si>
    <t>069791L</t>
  </si>
  <si>
    <t>PC Compléte</t>
  </si>
  <si>
    <t>anthracite</t>
  </si>
  <si>
    <t> 069891L</t>
  </si>
  <si>
    <t>069801L</t>
  </si>
  <si>
    <t xml:space="preserve">va-et-vient  </t>
  </si>
  <si>
    <t>069810L</t>
  </si>
  <si>
    <t xml:space="preserve">BP     </t>
  </si>
  <si>
    <t>069805L</t>
  </si>
  <si>
    <t xml:space="preserve">double inter ou Bp   </t>
  </si>
  <si>
    <t>069606L</t>
  </si>
  <si>
    <t>Support encatsré 1 poste</t>
  </si>
  <si>
    <t xml:space="preserve"> 069607L</t>
  </si>
  <si>
    <t>069608L</t>
  </si>
  <si>
    <t>069601L</t>
  </si>
  <si>
    <t>boitier  1 poste  saillie</t>
  </si>
  <si>
    <t>069602L</t>
  </si>
  <si>
    <t>boitier 2 postes saillie</t>
  </si>
  <si>
    <t>069603L</t>
  </si>
  <si>
    <t>069749L</t>
  </si>
  <si>
    <t>Piquet prise</t>
  </si>
  <si>
    <t>D8</t>
  </si>
  <si>
    <t>069781L</t>
  </si>
  <si>
    <t>Pc Compléte</t>
  </si>
  <si>
    <t>069621L</t>
  </si>
  <si>
    <t>Legrand Plaxo</t>
  </si>
  <si>
    <t>069611L</t>
  </si>
  <si>
    <t xml:space="preserve">va-et-vient </t>
  </si>
  <si>
    <t>069630L</t>
  </si>
  <si>
    <t>069625L</t>
  </si>
  <si>
    <t xml:space="preserve">double inter ou Bp     </t>
  </si>
  <si>
    <t>069692L</t>
  </si>
  <si>
    <t>069694L</t>
  </si>
  <si>
    <t>069698L</t>
  </si>
  <si>
    <t>069689L</t>
  </si>
  <si>
    <t>069690L</t>
  </si>
  <si>
    <t>069688L</t>
  </si>
  <si>
    <t>D11</t>
  </si>
  <si>
    <t xml:space="preserve">LEGRAND Plexo </t>
  </si>
  <si>
    <t>Pc complet 3p+t 20A</t>
  </si>
  <si>
    <t>HAGER Cubyco</t>
  </si>
  <si>
    <t>WNC100</t>
  </si>
  <si>
    <t xml:space="preserve">Pc compléte </t>
  </si>
  <si>
    <t>girs</t>
  </si>
  <si>
    <t>WNC001</t>
  </si>
  <si>
    <t>Inter complet</t>
  </si>
  <si>
    <t xml:space="preserve">LEGRAND </t>
  </si>
  <si>
    <t xml:space="preserve">support </t>
  </si>
  <si>
    <t>support double</t>
  </si>
  <si>
    <t>support triple</t>
  </si>
  <si>
    <t>support quadruple</t>
  </si>
  <si>
    <t xml:space="preserve">support griffe </t>
  </si>
  <si>
    <t xml:space="preserve">support griffe longue </t>
  </si>
  <si>
    <t xml:space="preserve">écran anti platre </t>
  </si>
  <si>
    <t>D12</t>
  </si>
  <si>
    <t xml:space="preserve">LEGRAND Mosaic </t>
  </si>
  <si>
    <t>078802L</t>
  </si>
  <si>
    <t>078804L</t>
  </si>
  <si>
    <t>078822L</t>
  </si>
  <si>
    <t>Plaque finition double verticale</t>
  </si>
  <si>
    <t>078806L</t>
  </si>
  <si>
    <t>Plaque finition triple horizontale</t>
  </si>
  <si>
    <t>Plaque finition double horizontale</t>
  </si>
  <si>
    <t>078823L</t>
  </si>
  <si>
    <t xml:space="preserve">Plaque fintion triple verticale </t>
  </si>
  <si>
    <t>078864L</t>
  </si>
  <si>
    <t>Plaque finition double reno hor</t>
  </si>
  <si>
    <t>078808L</t>
  </si>
  <si>
    <t>cadre saillie simple P.30</t>
  </si>
  <si>
    <t>cadre sillie simple P.40</t>
  </si>
  <si>
    <t>cadre saillie double P.40</t>
  </si>
  <si>
    <t>cadre saillie triple P.40</t>
  </si>
  <si>
    <t xml:space="preserve">LEGRAND  </t>
  </si>
  <si>
    <t>Prise OTO</t>
  </si>
  <si>
    <t>086001L</t>
  </si>
  <si>
    <t xml:space="preserve">Inter &amp; Bp OTO </t>
  </si>
  <si>
    <t>086020L</t>
  </si>
  <si>
    <t>Double Inter &amp; Bp OTO</t>
  </si>
  <si>
    <t>boite derivation OTO</t>
  </si>
  <si>
    <t>Prise TV OTO</t>
  </si>
  <si>
    <t>E1</t>
  </si>
  <si>
    <t>PHOS</t>
  </si>
  <si>
    <t>EY-MTSQA-03/B1/03/03</t>
  </si>
  <si>
    <t xml:space="preserve">Spot chromé / colorette </t>
  </si>
  <si>
    <t xml:space="preserve">chromé </t>
  </si>
  <si>
    <t>EY-MTSQA-01-B1-01-01</t>
  </si>
  <si>
    <t xml:space="preserve">Spot bronze / colorette </t>
  </si>
  <si>
    <t>bronze</t>
  </si>
  <si>
    <t>colorette carée</t>
  </si>
  <si>
    <t>Spot noir</t>
  </si>
  <si>
    <t>INF700-14D</t>
  </si>
  <si>
    <t>driver 700mA</t>
  </si>
  <si>
    <t>INF20DALI</t>
  </si>
  <si>
    <t>driver 350mA</t>
  </si>
  <si>
    <t>E2</t>
  </si>
  <si>
    <t xml:space="preserve">EUROPOLE </t>
  </si>
  <si>
    <t>Encastré de sol BOUNTY 2 carré inox</t>
  </si>
  <si>
    <t>inox</t>
  </si>
  <si>
    <t xml:space="preserve">Encastré de sol BOUNTY 2 rond inox </t>
  </si>
  <si>
    <t>Spot DECO GU10 rond 1 tête fixe, blanc mat IP20</t>
  </si>
  <si>
    <t>blanc mat</t>
  </si>
  <si>
    <t>Spot DECO GU10 rond 2 têtes orientable</t>
  </si>
  <si>
    <t>ZEPH 2 - 230 rond inox 3000K 334lm 3x2W 30°</t>
  </si>
  <si>
    <t>E3</t>
  </si>
  <si>
    <t>SLV</t>
  </si>
  <si>
    <t>ENOLA B</t>
  </si>
  <si>
    <t xml:space="preserve">ENOLA B liseuse </t>
  </si>
  <si>
    <t>ALTRA DICE</t>
  </si>
  <si>
    <t>TRILEDO carré</t>
  </si>
  <si>
    <t>TRILEDO rond</t>
  </si>
  <si>
    <t>SENSER 12</t>
  </si>
  <si>
    <t>SPOT 79</t>
  </si>
  <si>
    <t>DOWNUNDER OUT LED M</t>
  </si>
  <si>
    <t>SPOT blanc</t>
  </si>
  <si>
    <t>DOWNUNDER OUT LED S</t>
  </si>
  <si>
    <t>white</t>
  </si>
  <si>
    <t>ORN-T, spot encastré intérieur</t>
  </si>
  <si>
    <t xml:space="preserve">blanc mat </t>
  </si>
  <si>
    <t>E4</t>
  </si>
  <si>
    <t>ASTRO</t>
  </si>
  <si>
    <t>minima slimline rond</t>
  </si>
  <si>
    <t>emma surface USB</t>
  </si>
  <si>
    <t>fuse 3</t>
  </si>
  <si>
    <t>serifos 220</t>
  </si>
  <si>
    <t>plaster</t>
  </si>
  <si>
    <t>liseuse tosca led</t>
  </si>
  <si>
    <t>park lane</t>
  </si>
  <si>
    <t>Homefield 160</t>
  </si>
  <si>
    <t xml:space="preserve">Anton </t>
  </si>
  <si>
    <t>chrome</t>
  </si>
  <si>
    <t>leo (switched)</t>
  </si>
  <si>
    <t>Applique Richmond Wall Lantern 254</t>
  </si>
  <si>
    <t>SG</t>
  </si>
  <si>
    <t>Nano Tilt</t>
  </si>
  <si>
    <t xml:space="preserve">Nano </t>
  </si>
  <si>
    <t>Nano driver 350mA</t>
  </si>
  <si>
    <t xml:space="preserve">Nemo </t>
  </si>
  <si>
    <t>Flora spot piquet ou mural pivotant sur 360°</t>
  </si>
  <si>
    <t>E7</t>
  </si>
  <si>
    <t>ARIC</t>
  </si>
  <si>
    <t>Aric - ASPEN - Encastre rond, fixe, blanc, LED 5,5W 36 500lm 3000-4000K (CCT)</t>
  </si>
  <si>
    <t>Aric - AQUAFLAT - Encastre IP20-65 Vol.2, fixe, blanc, LED integ. 6W 3000K 450lm</t>
  </si>
  <si>
    <t>Aric - ASPEN - Encastre rond, fixe, noir, LED 5,5W 36 500lm 3000-4000K (CCT)</t>
  </si>
  <si>
    <t>Aric - FLAT LED - Encastre plat, rond, fixe, blanc, 110, LED integ. 5W 4000K 450lm</t>
  </si>
  <si>
    <t xml:space="preserve">Aric - GRADY - Downlight IP20-65 8W 3000-4000K </t>
  </si>
  <si>
    <t>Aric - Downlight FLAT CCT plat rond fixe blanc 110 LED 20,4W</t>
  </si>
  <si>
    <t>encastré de mur extérieur e27</t>
  </si>
  <si>
    <t>Aric - Enc. basc. EDOS IP65 RE2020 Vol1 CCT 2700-3000-4000K 6W 600lm dimmable 50000h</t>
  </si>
  <si>
    <t>Aric - MODELE 300G - Encastre de mur exterieur E27</t>
  </si>
  <si>
    <t>Aric - GALAXY - Encastre GU10, rond, basculant, bronze,</t>
  </si>
  <si>
    <t>Aric - TWISTER 3 - Proj. Ext. IP65 IK08, gris, 90 LED integre 12W 3000K</t>
  </si>
  <si>
    <t>Aric - TWISTER 3 SENSOR, Proj. Ext. IP65 IK08, gris, LED 90 25W 3000K</t>
  </si>
  <si>
    <t>Aric - TWISTER 3 SENSOR, Proj. Ext. IP65 IK08, gris, LED 90 45W 3000K</t>
  </si>
  <si>
    <t>Aric - TWISTER 3 - Proj. Ext. IP65 IK08, gris, 90 LED integre 100W 3000K</t>
  </si>
  <si>
    <t>Edos cct 2700-3-4000k blc</t>
  </si>
  <si>
    <t>Aries cct 6w/27-30-4000k blc</t>
  </si>
  <si>
    <t>E8</t>
  </si>
  <si>
    <t>SWAP</t>
  </si>
  <si>
    <t>A2543230WN</t>
  </si>
  <si>
    <t xml:space="preserve">Carré </t>
  </si>
  <si>
    <t>A2121221W</t>
  </si>
  <si>
    <t xml:space="preserve">Rond S </t>
  </si>
  <si>
    <t>A2122221W</t>
  </si>
  <si>
    <t xml:space="preserve">Rond M </t>
  </si>
  <si>
    <t>A2121221G</t>
  </si>
  <si>
    <t>blanc / gris</t>
  </si>
  <si>
    <t>A2121222N</t>
  </si>
  <si>
    <t xml:space="preserve">Rond </t>
  </si>
  <si>
    <t>A2122221N</t>
  </si>
  <si>
    <t>E10</t>
  </si>
  <si>
    <t>E11</t>
  </si>
  <si>
    <t>GISMO</t>
  </si>
  <si>
    <t>GIZ27-CCS-4</t>
  </si>
  <si>
    <t>GIZ27-CCS-2</t>
  </si>
  <si>
    <t xml:space="preserve">Spot noir </t>
  </si>
  <si>
    <t xml:space="preserve">Spot doré </t>
  </si>
  <si>
    <t>E9</t>
  </si>
  <si>
    <t>MIIDEX LIGHTING</t>
  </si>
  <si>
    <t xml:space="preserve">Guirlande 10 metres </t>
  </si>
  <si>
    <t>Cable d'alimentation guirlande</t>
  </si>
  <si>
    <t>INDIGO</t>
  </si>
  <si>
    <t>DO35530</t>
  </si>
  <si>
    <t>Spot 7W IP65</t>
  </si>
  <si>
    <t>DO55230</t>
  </si>
  <si>
    <t>BORA RDX EVO</t>
  </si>
  <si>
    <t>DO55330</t>
  </si>
  <si>
    <t>BORA RDH EVO</t>
  </si>
  <si>
    <t>DO178NW30</t>
  </si>
  <si>
    <t>Hd1014rd 230v 7,5w</t>
  </si>
  <si>
    <t>BO1360A15</t>
  </si>
  <si>
    <t>Hugo GU10</t>
  </si>
  <si>
    <t>KSA101205</t>
  </si>
  <si>
    <t xml:space="preserve">Spot orientable 50W </t>
  </si>
  <si>
    <t>KSA101204</t>
  </si>
  <si>
    <t>TP1139WW31</t>
  </si>
  <si>
    <t>hublot 25w 4000k</t>
  </si>
  <si>
    <t>OU13931</t>
  </si>
  <si>
    <t>hublot detection 25w 4000k</t>
  </si>
  <si>
    <t>WA13230</t>
  </si>
  <si>
    <t>PIXA 1 10W 1200Lm 3000K 38° DIM</t>
  </si>
  <si>
    <t>OU46324</t>
  </si>
  <si>
    <t>AVI 2 2P+T IP44</t>
  </si>
  <si>
    <t>OU18724</t>
  </si>
  <si>
    <t>GUNZY P 8W 760Lm 3000K 38° IP66</t>
  </si>
  <si>
    <t>E12</t>
  </si>
  <si>
    <t>WEVERS DUCRE</t>
  </si>
  <si>
    <t>Driver 500mA 20W dali</t>
  </si>
  <si>
    <t>901261B9</t>
  </si>
  <si>
    <t xml:space="preserve"> Led engine 50</t>
  </si>
  <si>
    <t>118100Q0</t>
  </si>
  <si>
    <r>
      <t xml:space="preserve">colorette carrée </t>
    </r>
    <r>
      <rPr>
        <sz val="9"/>
        <color theme="2"/>
        <rFont val="Calibri (Corps)"/>
      </rPr>
      <t>#1</t>
    </r>
  </si>
  <si>
    <t>901151Q9</t>
  </si>
  <si>
    <t>Led engine 35</t>
  </si>
  <si>
    <t>162100Q0</t>
  </si>
  <si>
    <t xml:space="preserve">colorette carre </t>
  </si>
  <si>
    <t>301120W0</t>
  </si>
  <si>
    <t>box mini</t>
  </si>
  <si>
    <t>F1</t>
  </si>
  <si>
    <t>I</t>
  </si>
  <si>
    <t>MELJAC</t>
  </si>
  <si>
    <r>
      <t xml:space="preserve">PC </t>
    </r>
    <r>
      <rPr>
        <sz val="9"/>
        <color theme="2"/>
        <rFont val="Calibri (Corps)"/>
      </rPr>
      <t>#1</t>
    </r>
  </si>
  <si>
    <t>bm allemand</t>
  </si>
  <si>
    <r>
      <t xml:space="preserve">2 RJ45 </t>
    </r>
    <r>
      <rPr>
        <sz val="9"/>
        <color theme="2"/>
        <rFont val="Calibri (Corps)"/>
      </rPr>
      <t>#1</t>
    </r>
  </si>
  <si>
    <r>
      <t>RJ45</t>
    </r>
    <r>
      <rPr>
        <sz val="9"/>
        <color theme="2"/>
        <rFont val="Calibri (Corps)"/>
      </rPr>
      <t xml:space="preserve"> #1</t>
    </r>
  </si>
  <si>
    <t>Double USB</t>
  </si>
  <si>
    <t>Double pc</t>
  </si>
  <si>
    <t xml:space="preserve">bm allemeand </t>
  </si>
  <si>
    <t>1 PBP master</t>
  </si>
  <si>
    <t xml:space="preserve">bm allemand </t>
  </si>
  <si>
    <t>1 BP outdoor</t>
  </si>
  <si>
    <t xml:space="preserve">1 BP </t>
  </si>
  <si>
    <r>
      <t>4 BP + GR</t>
    </r>
    <r>
      <rPr>
        <sz val="9"/>
        <color theme="2"/>
        <rFont val="Calibri (Corps)"/>
      </rPr>
      <t xml:space="preserve"> #1</t>
    </r>
  </si>
  <si>
    <t>PC / 4 BP + GR</t>
  </si>
  <si>
    <t>4 BP + GR / PC</t>
  </si>
  <si>
    <t>PC / PRISE USB</t>
  </si>
  <si>
    <t>2 BP / USB</t>
  </si>
  <si>
    <t>USB / 2 BP</t>
  </si>
  <si>
    <r>
      <t>PC / RJ45</t>
    </r>
    <r>
      <rPr>
        <sz val="9"/>
        <color theme="2"/>
        <rFont val="Calibri (Corps)"/>
      </rPr>
      <t xml:space="preserve"> #1</t>
    </r>
  </si>
  <si>
    <r>
      <t>PC</t>
    </r>
    <r>
      <rPr>
        <sz val="9"/>
        <color theme="2"/>
        <rFont val="Calibri (Corps)"/>
      </rPr>
      <t xml:space="preserve"> #2</t>
    </r>
  </si>
  <si>
    <t>chromé vif</t>
  </si>
  <si>
    <r>
      <t>2 PC</t>
    </r>
    <r>
      <rPr>
        <sz val="9"/>
        <color theme="2"/>
        <rFont val="Calibri (Corps)"/>
      </rPr>
      <t xml:space="preserve"> #1</t>
    </r>
  </si>
  <si>
    <t>Thermostat #1</t>
  </si>
  <si>
    <r>
      <t>4 BP + GR</t>
    </r>
    <r>
      <rPr>
        <sz val="9"/>
        <color theme="2"/>
        <rFont val="Calibri (Corps)"/>
      </rPr>
      <t xml:space="preserve"> #2</t>
    </r>
  </si>
  <si>
    <r>
      <t xml:space="preserve">4 BP </t>
    </r>
    <r>
      <rPr>
        <sz val="9"/>
        <color theme="2"/>
        <rFont val="Calibri (Corps)"/>
      </rPr>
      <t>#2</t>
    </r>
  </si>
  <si>
    <t>niquel brossé</t>
  </si>
  <si>
    <r>
      <t xml:space="preserve">2 BP </t>
    </r>
    <r>
      <rPr>
        <sz val="9"/>
        <color theme="2"/>
        <rFont val="Calibri (Corps)"/>
      </rPr>
      <t>#1</t>
    </r>
  </si>
  <si>
    <r>
      <t xml:space="preserve">RJ45 </t>
    </r>
    <r>
      <rPr>
        <sz val="9"/>
        <color theme="2"/>
        <rFont val="Calibri (Corps)"/>
      </rPr>
      <t>#2</t>
    </r>
  </si>
  <si>
    <t>3 PC</t>
  </si>
  <si>
    <r>
      <t>2 PC</t>
    </r>
    <r>
      <rPr>
        <sz val="9"/>
        <color theme="2"/>
        <rFont val="Calibri (Corps)"/>
      </rPr>
      <t xml:space="preserve"> #2</t>
    </r>
  </si>
  <si>
    <t>RJ45 + TV FM SAT</t>
  </si>
  <si>
    <r>
      <t>PC / RJ45</t>
    </r>
    <r>
      <rPr>
        <sz val="9"/>
        <color theme="2"/>
        <rFont val="Calibri (Corps)"/>
      </rPr>
      <t xml:space="preserve"> #2</t>
    </r>
  </si>
  <si>
    <t xml:space="preserve">4 BP + LED </t>
  </si>
  <si>
    <t>6 BP</t>
  </si>
  <si>
    <r>
      <t xml:space="preserve">PC </t>
    </r>
    <r>
      <rPr>
        <sz val="9"/>
        <color theme="2"/>
        <rFont val="Calibri (Corps)"/>
      </rPr>
      <t>#3</t>
    </r>
  </si>
  <si>
    <t>bm foncé</t>
  </si>
  <si>
    <t>1 BP + 1 Tr</t>
  </si>
  <si>
    <r>
      <t>2 PC</t>
    </r>
    <r>
      <rPr>
        <sz val="9"/>
        <color theme="2"/>
        <rFont val="Calibri (Corps)"/>
      </rPr>
      <t xml:space="preserve"> #4</t>
    </r>
  </si>
  <si>
    <t>1 Hab DAIKIN</t>
  </si>
  <si>
    <t>1 PC + USB</t>
  </si>
  <si>
    <r>
      <t>2 BP</t>
    </r>
    <r>
      <rPr>
        <sz val="9"/>
        <color theme="2"/>
        <rFont val="Calibri (Corps)"/>
      </rPr>
      <t xml:space="preserve"> #2</t>
    </r>
  </si>
  <si>
    <t>cdf anthracire</t>
  </si>
  <si>
    <t xml:space="preserve">USB </t>
  </si>
  <si>
    <t>3 BP + 1 VV</t>
  </si>
  <si>
    <t xml:space="preserve">cf anthracite </t>
  </si>
  <si>
    <t>2 BP + 2 Tr + 1 VV</t>
  </si>
  <si>
    <t>PC</t>
  </si>
  <si>
    <t xml:space="preserve">champagne </t>
  </si>
  <si>
    <t>4BP+GR</t>
  </si>
  <si>
    <t>MODELEC</t>
  </si>
  <si>
    <t>132-417M</t>
  </si>
  <si>
    <r>
      <t>B2</t>
    </r>
    <r>
      <rPr>
        <sz val="9"/>
        <color theme="2"/>
        <rFont val="Calibri (Corps)"/>
      </rPr>
      <t xml:space="preserve"> #1</t>
    </r>
  </si>
  <si>
    <t>laiton vieux bronze</t>
  </si>
  <si>
    <t>131-417M</t>
  </si>
  <si>
    <r>
      <t xml:space="preserve">B1 </t>
    </r>
    <r>
      <rPr>
        <sz val="9"/>
        <color theme="2"/>
        <rFont val="Calibri (Corps)"/>
      </rPr>
      <t>#1</t>
    </r>
  </si>
  <si>
    <t>190-417M</t>
  </si>
  <si>
    <r>
      <t xml:space="preserve">PC </t>
    </r>
    <r>
      <rPr>
        <sz val="9"/>
        <color theme="2"/>
        <rFont val="Calibri (Corps)"/>
      </rPr>
      <t>#4</t>
    </r>
  </si>
  <si>
    <t>260-417M</t>
  </si>
  <si>
    <r>
      <t>PC PC</t>
    </r>
    <r>
      <rPr>
        <sz val="9"/>
        <color theme="2"/>
        <rFont val="Calibri (Corps)"/>
      </rPr>
      <t xml:space="preserve"> #1</t>
    </r>
  </si>
  <si>
    <t>154-417M</t>
  </si>
  <si>
    <t>B2 B2</t>
  </si>
  <si>
    <t>190-414M</t>
  </si>
  <si>
    <r>
      <t>PC</t>
    </r>
    <r>
      <rPr>
        <sz val="9"/>
        <color theme="2"/>
        <rFont val="Calibri (Corps)"/>
      </rPr>
      <t xml:space="preserve"> #5</t>
    </r>
  </si>
  <si>
    <t>laiton canon fusil</t>
  </si>
  <si>
    <t>133-414M</t>
  </si>
  <si>
    <t>131-414M</t>
  </si>
  <si>
    <r>
      <t xml:space="preserve">B1 </t>
    </r>
    <r>
      <rPr>
        <sz val="9"/>
        <color theme="2"/>
        <rFont val="Calibri (Corps)"/>
      </rPr>
      <t>#2</t>
    </r>
  </si>
  <si>
    <t>187-414M</t>
  </si>
  <si>
    <t>Thermostat #2</t>
  </si>
  <si>
    <t>900-414</t>
  </si>
  <si>
    <t>PC SOL</t>
  </si>
  <si>
    <t>155-414M</t>
  </si>
  <si>
    <t>B1 B2 verticale</t>
  </si>
  <si>
    <t>152-414M</t>
  </si>
  <si>
    <r>
      <t>B1 B1 verticale</t>
    </r>
    <r>
      <rPr>
        <sz val="9"/>
        <color theme="2"/>
        <rFont val="Calibri (Corps)"/>
      </rPr>
      <t xml:space="preserve"> #1</t>
    </r>
  </si>
  <si>
    <t>274-414M</t>
  </si>
  <si>
    <t>C3 M1 horizontale</t>
  </si>
  <si>
    <t xml:space="preserve">260-414M </t>
  </si>
  <si>
    <t>PC PC horizontale</t>
  </si>
  <si>
    <t>269-414M</t>
  </si>
  <si>
    <t xml:space="preserve">M1 C3 horizontale </t>
  </si>
  <si>
    <t>190-808</t>
  </si>
  <si>
    <r>
      <t>PC</t>
    </r>
    <r>
      <rPr>
        <sz val="9"/>
        <color theme="2"/>
        <rFont val="Calibri (Corps)"/>
      </rPr>
      <t xml:space="preserve"> #6</t>
    </r>
  </si>
  <si>
    <t>satin noir soft touch</t>
  </si>
  <si>
    <t>131-808</t>
  </si>
  <si>
    <r>
      <t xml:space="preserve">B1 </t>
    </r>
    <r>
      <rPr>
        <sz val="9"/>
        <color theme="2"/>
        <rFont val="Calibri (Corps)"/>
      </rPr>
      <t>#3</t>
    </r>
  </si>
  <si>
    <t>132-808</t>
  </si>
  <si>
    <r>
      <t xml:space="preserve">B2 </t>
    </r>
    <r>
      <rPr>
        <sz val="9"/>
        <color theme="2"/>
        <rFont val="Calibri (Corps)"/>
      </rPr>
      <t>#2</t>
    </r>
  </si>
  <si>
    <t>152-808</t>
  </si>
  <si>
    <r>
      <t>B1 B1 verticale</t>
    </r>
    <r>
      <rPr>
        <sz val="9"/>
        <color theme="2"/>
        <rFont val="Calibri (Corps)"/>
      </rPr>
      <t xml:space="preserve"> #2</t>
    </r>
  </si>
  <si>
    <t>172-808</t>
  </si>
  <si>
    <t>B1 B1 horizontale</t>
  </si>
  <si>
    <t>154-808</t>
  </si>
  <si>
    <t>B2 B2 verticale</t>
  </si>
  <si>
    <t>260-808</t>
  </si>
  <si>
    <t>356-808</t>
  </si>
  <si>
    <t xml:space="preserve">B2 B2 B2 verticale </t>
  </si>
  <si>
    <t>131-810</t>
  </si>
  <si>
    <r>
      <t>B1</t>
    </r>
    <r>
      <rPr>
        <sz val="9"/>
        <color theme="2"/>
        <rFont val="Calibri (Corps)"/>
      </rPr>
      <t xml:space="preserve"> #4</t>
    </r>
  </si>
  <si>
    <t>satin blanc soft touch</t>
  </si>
  <si>
    <t>190-818</t>
  </si>
  <si>
    <t>noir mat</t>
  </si>
  <si>
    <t>260-810</t>
  </si>
  <si>
    <r>
      <t xml:space="preserve">PC PC </t>
    </r>
    <r>
      <rPr>
        <sz val="9"/>
        <color theme="2"/>
        <rFont val="Calibri (Corps)"/>
      </rPr>
      <t>#2</t>
    </r>
  </si>
  <si>
    <t>087-320G</t>
  </si>
  <si>
    <r>
      <t xml:space="preserve">Meca PC </t>
    </r>
    <r>
      <rPr>
        <sz val="9"/>
        <color theme="2"/>
        <rFont val="Calibri (Corps)"/>
      </rPr>
      <t>#6</t>
    </r>
  </si>
  <si>
    <t>087-320B</t>
  </si>
  <si>
    <r>
      <t xml:space="preserve">Meca PC </t>
    </r>
    <r>
      <rPr>
        <sz val="9"/>
        <color theme="2"/>
        <rFont val="Calibri (Corps)"/>
      </rPr>
      <t>#7</t>
    </r>
  </si>
  <si>
    <t>MK 087-03</t>
  </si>
  <si>
    <r>
      <t xml:space="preserve">Meca inter/BP </t>
    </r>
    <r>
      <rPr>
        <sz val="9"/>
        <color theme="2"/>
        <rFont val="Calibri (Corps)"/>
      </rPr>
      <t>#2</t>
    </r>
  </si>
  <si>
    <t>072-133G</t>
  </si>
  <si>
    <r>
      <t xml:space="preserve">Support </t>
    </r>
    <r>
      <rPr>
        <sz val="9"/>
        <color theme="2"/>
        <rFont val="Calibri (Corps)"/>
      </rPr>
      <t>#3</t>
    </r>
  </si>
  <si>
    <t>NIKO</t>
  </si>
  <si>
    <t>170-01615</t>
  </si>
  <si>
    <t>Meca inter VV</t>
  </si>
  <si>
    <t>170-02615</t>
  </si>
  <si>
    <t>Meca inter double VV</t>
  </si>
  <si>
    <t>170-05015</t>
  </si>
  <si>
    <t>Meca double BP</t>
  </si>
  <si>
    <t>170-00015</t>
  </si>
  <si>
    <r>
      <t>Meca BP</t>
    </r>
    <r>
      <rPr>
        <sz val="9"/>
        <color theme="2"/>
        <rFont val="Calibri (Corps)"/>
      </rPr>
      <t xml:space="preserve"> #2</t>
    </r>
  </si>
  <si>
    <t>170-33115</t>
  </si>
  <si>
    <r>
      <t xml:space="preserve">Meca pc </t>
    </r>
    <r>
      <rPr>
        <sz val="9"/>
        <color theme="2"/>
        <rFont val="Calibri (Corps)"/>
      </rPr>
      <t>#8</t>
    </r>
  </si>
  <si>
    <t>420-00513</t>
  </si>
  <si>
    <t>Meca USB</t>
  </si>
  <si>
    <t>170-65261</t>
  </si>
  <si>
    <r>
      <t xml:space="preserve">Meca RJ45 </t>
    </r>
    <r>
      <rPr>
        <sz val="9"/>
        <color theme="2"/>
        <rFont val="Calibri (Corps)"/>
      </rPr>
      <t>#4</t>
    </r>
  </si>
  <si>
    <t>170-955</t>
  </si>
  <si>
    <r>
      <t xml:space="preserve">Meca TV SAT </t>
    </r>
    <r>
      <rPr>
        <sz val="9"/>
        <color theme="2"/>
        <rFont val="Calibri (Corps)"/>
      </rPr>
      <t>#4</t>
    </r>
  </si>
  <si>
    <t>101-61105</t>
  </si>
  <si>
    <t>Enjoliveur inter</t>
  </si>
  <si>
    <t>154-61105</t>
  </si>
  <si>
    <r>
      <t xml:space="preserve">Enjoliveur Inter </t>
    </r>
    <r>
      <rPr>
        <sz val="9"/>
        <color theme="2"/>
        <rFont val="Calibri (Corps)"/>
      </rPr>
      <t>#9</t>
    </r>
  </si>
  <si>
    <t>101-60005</t>
  </si>
  <si>
    <t>Enjoliveur Inter + voyant</t>
  </si>
  <si>
    <t>154-66601</t>
  </si>
  <si>
    <r>
      <t xml:space="preserve">Enjoliveur PC </t>
    </r>
    <r>
      <rPr>
        <sz val="9"/>
        <color theme="2"/>
        <rFont val="Calibri (Corps)"/>
      </rPr>
      <t>#15</t>
    </r>
  </si>
  <si>
    <t>101-61505</t>
  </si>
  <si>
    <r>
      <t xml:space="preserve">Enjoliveur 2BP </t>
    </r>
    <r>
      <rPr>
        <sz val="9"/>
        <color theme="2"/>
        <rFont val="Calibri (Corps)"/>
      </rPr>
      <t>#1</t>
    </r>
  </si>
  <si>
    <t>120-76800</t>
  </si>
  <si>
    <r>
      <t xml:space="preserve">Plaque finition double horizontale </t>
    </r>
    <r>
      <rPr>
        <sz val="9"/>
        <color theme="2"/>
        <rFont val="Calibri (Corps)"/>
      </rPr>
      <t>#7</t>
    </r>
  </si>
  <si>
    <t>intense white</t>
  </si>
  <si>
    <t>720-16200</t>
  </si>
  <si>
    <r>
      <t>Plaque finition double verticale</t>
    </r>
    <r>
      <rPr>
        <sz val="9"/>
        <color theme="2"/>
        <rFont val="Calibri (Corps)"/>
      </rPr>
      <t xml:space="preserve"> #8</t>
    </r>
  </si>
  <si>
    <t>120-76100</t>
  </si>
  <si>
    <r>
      <t xml:space="preserve">Plaque finition simple </t>
    </r>
    <r>
      <rPr>
        <sz val="9"/>
        <color theme="2"/>
        <rFont val="Calibri (Corps)"/>
      </rPr>
      <t>#10</t>
    </r>
  </si>
  <si>
    <t>122-76100</t>
  </si>
  <si>
    <r>
      <t xml:space="preserve">Plaque finition simple </t>
    </r>
    <r>
      <rPr>
        <sz val="9"/>
        <color theme="2"/>
        <rFont val="Calibri (Corps)"/>
      </rPr>
      <t>#11</t>
    </r>
  </si>
  <si>
    <t>161-76100</t>
  </si>
  <si>
    <t>plaque finition simple</t>
  </si>
  <si>
    <t>black</t>
  </si>
  <si>
    <t>161-76800</t>
  </si>
  <si>
    <t>Plaque finition double horizontale #8</t>
  </si>
  <si>
    <t xml:space="preserve">black </t>
  </si>
  <si>
    <t>161-66601</t>
  </si>
  <si>
    <t>enjoliveur PC</t>
  </si>
  <si>
    <t>161-61105</t>
  </si>
  <si>
    <t>enjoliveur Inter</t>
  </si>
  <si>
    <t>161-61505</t>
  </si>
  <si>
    <t>Enjoliveur double inter / Bp</t>
  </si>
  <si>
    <t>JUNG</t>
  </si>
  <si>
    <t>1520NFEINS</t>
  </si>
  <si>
    <r>
      <t xml:space="preserve">Meca PC </t>
    </r>
    <r>
      <rPr>
        <sz val="9"/>
        <color theme="2"/>
        <rFont val="Calibri (Corps)"/>
      </rPr>
      <t>#4</t>
    </r>
  </si>
  <si>
    <t>551WU</t>
  </si>
  <si>
    <t>joint etanchéité</t>
  </si>
  <si>
    <t>5121FBFKISGPL-1</t>
  </si>
  <si>
    <r>
      <t>Enjoliveur PC</t>
    </r>
    <r>
      <rPr>
        <sz val="9"/>
        <color theme="2"/>
        <rFont val="Calibri (Corps)"/>
      </rPr>
      <t xml:space="preserve"> #7</t>
    </r>
  </si>
  <si>
    <t>ES2990KL</t>
  </si>
  <si>
    <r>
      <t xml:space="preserve">Clapet </t>
    </r>
    <r>
      <rPr>
        <sz val="9"/>
        <color theme="2"/>
        <rFont val="Calibri (Corps)"/>
      </rPr>
      <t>#1</t>
    </r>
  </si>
  <si>
    <t>ES2982</t>
  </si>
  <si>
    <r>
      <t xml:space="preserve">Cadre double </t>
    </r>
    <r>
      <rPr>
        <sz val="9"/>
        <color theme="2"/>
        <rFont val="Calibri (Corps)"/>
      </rPr>
      <t>#1</t>
    </r>
  </si>
  <si>
    <t>ES1521FKLPL1L</t>
  </si>
  <si>
    <t>Enjoliveur PC + clapet</t>
  </si>
  <si>
    <t>ME2981AT</t>
  </si>
  <si>
    <r>
      <t xml:space="preserve">Cadre simple </t>
    </r>
    <r>
      <rPr>
        <sz val="9"/>
        <color theme="2"/>
        <rFont val="Calibri (Corps)"/>
      </rPr>
      <t>#1</t>
    </r>
  </si>
  <si>
    <t>marron</t>
  </si>
  <si>
    <t>ME2982AT</t>
  </si>
  <si>
    <r>
      <t xml:space="preserve">Cadre double </t>
    </r>
    <r>
      <rPr>
        <sz val="9"/>
        <color theme="2"/>
        <rFont val="Calibri (Corps)"/>
      </rPr>
      <t>#2</t>
    </r>
  </si>
  <si>
    <t>ME2983AT</t>
  </si>
  <si>
    <r>
      <t xml:space="preserve">Cadre triple </t>
    </r>
    <r>
      <rPr>
        <sz val="9"/>
        <color theme="2"/>
        <rFont val="Calibri (Corps)"/>
      </rPr>
      <t>#1</t>
    </r>
  </si>
  <si>
    <t xml:space="preserve">marron </t>
  </si>
  <si>
    <t>ME2990KLAT</t>
  </si>
  <si>
    <r>
      <t xml:space="preserve">Clapet </t>
    </r>
    <r>
      <rPr>
        <sz val="9"/>
        <color theme="2"/>
        <rFont val="Calibri (Corps)"/>
      </rPr>
      <t>#2</t>
    </r>
  </si>
  <si>
    <t>LS990WW</t>
  </si>
  <si>
    <r>
      <t xml:space="preserve">Enjoliveur Inter </t>
    </r>
    <r>
      <rPr>
        <sz val="9"/>
        <color theme="2"/>
        <rFont val="Calibri (Corps)"/>
      </rPr>
      <t>#4</t>
    </r>
  </si>
  <si>
    <t>5121FBFKIWWPL-1</t>
  </si>
  <si>
    <r>
      <t>Enjoliveur PC</t>
    </r>
    <r>
      <rPr>
        <sz val="9"/>
        <color theme="2"/>
        <rFont val="Calibri (Corps)"/>
      </rPr>
      <t xml:space="preserve"> #8</t>
    </r>
  </si>
  <si>
    <t>LS152FKIWWPL-1</t>
  </si>
  <si>
    <r>
      <t xml:space="preserve">Enjoliveur PC </t>
    </r>
    <r>
      <rPr>
        <sz val="9"/>
        <color theme="2"/>
        <rFont val="Calibri (Corps)"/>
      </rPr>
      <t>#9</t>
    </r>
  </si>
  <si>
    <t>AC581WW</t>
  </si>
  <si>
    <r>
      <t xml:space="preserve">Cadre simple </t>
    </r>
    <r>
      <rPr>
        <sz val="9"/>
        <color theme="2"/>
        <rFont val="Calibri (Corps)"/>
      </rPr>
      <t>#2</t>
    </r>
  </si>
  <si>
    <t>AC582WW</t>
  </si>
  <si>
    <r>
      <t xml:space="preserve">Cadre double </t>
    </r>
    <r>
      <rPr>
        <sz val="9"/>
        <color theme="2"/>
        <rFont val="Calibri (Corps)"/>
      </rPr>
      <t>#3</t>
    </r>
  </si>
  <si>
    <t>AC583WW</t>
  </si>
  <si>
    <r>
      <t xml:space="preserve">Cadre triple </t>
    </r>
    <r>
      <rPr>
        <sz val="9"/>
        <color theme="2"/>
        <rFont val="Calibri (Corps)"/>
      </rPr>
      <t>#2</t>
    </r>
  </si>
  <si>
    <t>HAGER galery</t>
  </si>
  <si>
    <t>WXF224</t>
  </si>
  <si>
    <t>WXF003</t>
  </si>
  <si>
    <t>WXF250</t>
  </si>
  <si>
    <t>WXF100</t>
  </si>
  <si>
    <t>WXF301</t>
  </si>
  <si>
    <t>Meca volet roulant</t>
  </si>
  <si>
    <t>WXF155</t>
  </si>
  <si>
    <t>WXF112</t>
  </si>
  <si>
    <t>Alimentation USB</t>
  </si>
  <si>
    <t>WXA450</t>
  </si>
  <si>
    <t>WXA450G</t>
  </si>
  <si>
    <t>WXD010T</t>
  </si>
  <si>
    <t>titane</t>
  </si>
  <si>
    <t>WXS000T</t>
  </si>
  <si>
    <t>WXD100T</t>
  </si>
  <si>
    <t>WXD251T</t>
  </si>
  <si>
    <t>WXD256T</t>
  </si>
  <si>
    <t>WXE302T</t>
  </si>
  <si>
    <t>WXE304T</t>
  </si>
  <si>
    <t>WXE306T</t>
  </si>
  <si>
    <t>WXE312T</t>
  </si>
  <si>
    <t>Enjoliveur 2BP KNX led</t>
  </si>
  <si>
    <t>WXE314T</t>
  </si>
  <si>
    <t>Enjoliveur 4BP KNX led</t>
  </si>
  <si>
    <t>WXE316T</t>
  </si>
  <si>
    <t>Enjoliveur 6BP KNX led</t>
  </si>
  <si>
    <t>WXD100D</t>
  </si>
  <si>
    <t>dune</t>
  </si>
  <si>
    <t>WXE302N</t>
  </si>
  <si>
    <t>nigth</t>
  </si>
  <si>
    <t>WXE304N</t>
  </si>
  <si>
    <t>WXE306N</t>
  </si>
  <si>
    <t>WXD002N</t>
  </si>
  <si>
    <t>Enjoliveur Inter + etiquette</t>
  </si>
  <si>
    <t>WXD251N</t>
  </si>
  <si>
    <t>WXD202N</t>
  </si>
  <si>
    <t>WXD201N</t>
  </si>
  <si>
    <t>WXD000N</t>
  </si>
  <si>
    <t>WXD010N</t>
  </si>
  <si>
    <t>WXD100B</t>
  </si>
  <si>
    <t>pure</t>
  </si>
  <si>
    <t>WXD010B</t>
  </si>
  <si>
    <t>WXD001B</t>
  </si>
  <si>
    <t>WXD251B</t>
  </si>
  <si>
    <t>WXD202B</t>
  </si>
  <si>
    <t>WXD201B</t>
  </si>
  <si>
    <t>WXD301B</t>
  </si>
  <si>
    <t>Enjoliveur volet roulant</t>
  </si>
  <si>
    <t>WXD050B</t>
  </si>
  <si>
    <t>Enjoliveur Inter auto.</t>
  </si>
  <si>
    <t>WXE302B</t>
  </si>
  <si>
    <t>WXE306B</t>
  </si>
  <si>
    <t>WXF689B</t>
  </si>
  <si>
    <t>Opturateur</t>
  </si>
  <si>
    <t>WXD155B</t>
  </si>
  <si>
    <t>WXP0202</t>
  </si>
  <si>
    <t>WXP0212</t>
  </si>
  <si>
    <t>WXP0242</t>
  </si>
  <si>
    <t>WXP0213</t>
  </si>
  <si>
    <t>WXP0002</t>
  </si>
  <si>
    <t>WXP0012</t>
  </si>
  <si>
    <t>WXP0042</t>
  </si>
  <si>
    <t>WXP0013</t>
  </si>
  <si>
    <t xml:space="preserve">Plaque finition triple </t>
  </si>
  <si>
    <t>WXP0014</t>
  </si>
  <si>
    <t>Plaue finition quadruple</t>
  </si>
  <si>
    <r>
      <t xml:space="preserve">Plaque finition double verticale </t>
    </r>
    <r>
      <rPr>
        <sz val="11"/>
        <color theme="2"/>
        <rFont val="Calibri (Corps)"/>
      </rPr>
      <t>#2</t>
    </r>
  </si>
  <si>
    <t>HAGER kallysta</t>
  </si>
  <si>
    <t>WK001</t>
  </si>
  <si>
    <r>
      <t>Meca inter</t>
    </r>
    <r>
      <rPr>
        <sz val="9"/>
        <color theme="2"/>
        <rFont val="Calibri (Corps)"/>
      </rPr>
      <t xml:space="preserve"> #1</t>
    </r>
  </si>
  <si>
    <t>WK100</t>
  </si>
  <si>
    <r>
      <t xml:space="preserve">Meca PC </t>
    </r>
    <r>
      <rPr>
        <sz val="9"/>
        <color theme="2"/>
        <rFont val="Calibri (Corps)"/>
      </rPr>
      <t>#3</t>
    </r>
  </si>
  <si>
    <t>WK155</t>
  </si>
  <si>
    <r>
      <t xml:space="preserve">Sortie de cable </t>
    </r>
    <r>
      <rPr>
        <sz val="9"/>
        <color theme="2"/>
        <rFont val="Calibri (Corps)"/>
      </rPr>
      <t>#3</t>
    </r>
  </si>
  <si>
    <t>WK742C</t>
  </si>
  <si>
    <t>Enjoliveur TV SAT</t>
  </si>
  <si>
    <t>carbone</t>
  </si>
  <si>
    <t>WK740C</t>
  </si>
  <si>
    <r>
      <t xml:space="preserve">Enjoliveur TV </t>
    </r>
    <r>
      <rPr>
        <sz val="9"/>
        <color theme="2"/>
        <rFont val="Calibri (Corps)"/>
      </rPr>
      <t>#4</t>
    </r>
  </si>
  <si>
    <t>WK739C</t>
  </si>
  <si>
    <r>
      <t xml:space="preserve">Enjoliveur sortie cable </t>
    </r>
    <r>
      <rPr>
        <sz val="9"/>
        <color theme="2"/>
        <rFont val="Calibri (Corps)"/>
      </rPr>
      <t>#1</t>
    </r>
  </si>
  <si>
    <t>WK730C</t>
  </si>
  <si>
    <r>
      <t xml:space="preserve">Enjoliveur PC </t>
    </r>
    <r>
      <rPr>
        <sz val="9"/>
        <color theme="2"/>
        <rFont val="Calibri (Corps)"/>
      </rPr>
      <t>#5</t>
    </r>
  </si>
  <si>
    <t>WKN501</t>
  </si>
  <si>
    <r>
      <t xml:space="preserve">Plaque finition simple </t>
    </r>
    <r>
      <rPr>
        <sz val="9"/>
        <color theme="2"/>
        <rFont val="Calibri (Corps)"/>
      </rPr>
      <t>#4</t>
    </r>
  </si>
  <si>
    <t>WKN828</t>
  </si>
  <si>
    <r>
      <t>Plaque finition double verticale</t>
    </r>
    <r>
      <rPr>
        <sz val="9"/>
        <color theme="2"/>
        <rFont val="Calibri (Corps)"/>
      </rPr>
      <t xml:space="preserve"> #3</t>
    </r>
  </si>
  <si>
    <t>épure carbone</t>
  </si>
  <si>
    <t>WKN503</t>
  </si>
  <si>
    <r>
      <t xml:space="preserve"> Plaque finition triple horizontale </t>
    </r>
    <r>
      <rPr>
        <sz val="9"/>
        <color theme="2"/>
        <rFont val="Calibri (Corps)"/>
      </rPr>
      <t>#3</t>
    </r>
  </si>
  <si>
    <t>WKN401</t>
  </si>
  <si>
    <t>Plaque finition simple</t>
  </si>
  <si>
    <t>pop blanc névé</t>
  </si>
  <si>
    <t>WK730B</t>
  </si>
  <si>
    <r>
      <t xml:space="preserve">Enjoliveur PC </t>
    </r>
    <r>
      <rPr>
        <sz val="9"/>
        <color theme="2"/>
        <rFont val="Calibri (Corps)"/>
      </rPr>
      <t>#6</t>
    </r>
  </si>
  <si>
    <t>blanc névé</t>
  </si>
  <si>
    <t>WKN802</t>
  </si>
  <si>
    <r>
      <t xml:space="preserve">Plaque finition double horizontale </t>
    </r>
    <r>
      <rPr>
        <sz val="9"/>
        <color theme="2"/>
        <rFont val="Calibri (Corps)"/>
      </rPr>
      <t>#3</t>
    </r>
  </si>
  <si>
    <t>WKT902T</t>
  </si>
  <si>
    <t>Enjoliveur 2 KNX bus/radio</t>
  </si>
  <si>
    <t>tébis titane</t>
  </si>
  <si>
    <t>WKT804T</t>
  </si>
  <si>
    <t>Enjoliveur 4 KNX bus/radio</t>
  </si>
  <si>
    <t>WKT806T</t>
  </si>
  <si>
    <t>Enjoliveur 6 KNW bus/radio</t>
  </si>
  <si>
    <t>WKT914T</t>
  </si>
  <si>
    <t>Enjoliveur 4 KNX bus a voyant</t>
  </si>
  <si>
    <t>WKT302</t>
  </si>
  <si>
    <t>Poussoir KNX bus 2E</t>
  </si>
  <si>
    <t xml:space="preserve">tébis </t>
  </si>
  <si>
    <t>WKT314R</t>
  </si>
  <si>
    <t>Poussoir KNX RF 4E solaire</t>
  </si>
  <si>
    <t xml:space="preserve">Plaque finition double horizontale </t>
  </si>
  <si>
    <t xml:space="preserve">Plaque finition double verticale </t>
  </si>
  <si>
    <t xml:space="preserve">Sortie de cable </t>
  </si>
  <si>
    <t xml:space="preserve">Enjoliveur 6BP KNX </t>
  </si>
  <si>
    <r>
      <t>Enjoliveur 2BP KNX</t>
    </r>
    <r>
      <rPr>
        <sz val="9"/>
        <color theme="2"/>
        <rFont val="Calibri (Corps)"/>
      </rPr>
      <t xml:space="preserve"> </t>
    </r>
  </si>
  <si>
    <r>
      <t>Enjoliveur PC</t>
    </r>
    <r>
      <rPr>
        <sz val="9"/>
        <color theme="2"/>
        <rFont val="Calibri (Corps)"/>
      </rPr>
      <t xml:space="preserve"> </t>
    </r>
  </si>
  <si>
    <t xml:space="preserve">1/2 Enjoliveur RJ45 </t>
  </si>
  <si>
    <r>
      <t>Enjoliveur RJ45</t>
    </r>
    <r>
      <rPr>
        <sz val="9"/>
        <color theme="2"/>
        <rFont val="Calibri (Corps)"/>
      </rPr>
      <t xml:space="preserve"> </t>
    </r>
  </si>
  <si>
    <t xml:space="preserve">Enjoliveur TV </t>
  </si>
  <si>
    <t xml:space="preserve">Enjoliveur a voyant </t>
  </si>
  <si>
    <r>
      <t>1/2 Enjoliveur Inter</t>
    </r>
    <r>
      <rPr>
        <sz val="9"/>
        <color theme="2"/>
        <rFont val="Calibri (Corps)"/>
      </rPr>
      <t xml:space="preserve"> </t>
    </r>
  </si>
  <si>
    <t xml:space="preserve">Enjoliveur Inter </t>
  </si>
  <si>
    <t xml:space="preserve">1/2 Enjoliveur Inter </t>
  </si>
  <si>
    <t xml:space="preserve">Enjoliveur RJ45 </t>
  </si>
  <si>
    <r>
      <t>Enjoliveur TV</t>
    </r>
    <r>
      <rPr>
        <sz val="9"/>
        <color theme="2"/>
        <rFont val="Calibri (Corps)"/>
      </rPr>
      <t xml:space="preserve"> </t>
    </r>
  </si>
  <si>
    <t xml:space="preserve">Ejoliveur 4BP KNX </t>
  </si>
  <si>
    <t xml:space="preserve">Enjoliveur 2BP KNX </t>
  </si>
  <si>
    <r>
      <t xml:space="preserve">Enjoliveur PC </t>
    </r>
    <r>
      <rPr>
        <sz val="9"/>
        <color theme="2"/>
        <rFont val="Calibri (Corps)"/>
      </rPr>
      <t xml:space="preserve"> </t>
    </r>
  </si>
  <si>
    <r>
      <t>Enjoliveur 6BP KNX</t>
    </r>
    <r>
      <rPr>
        <sz val="9"/>
        <color theme="2"/>
        <rFont val="Calibri (Corps)"/>
      </rPr>
      <t xml:space="preserve"> </t>
    </r>
  </si>
  <si>
    <t xml:space="preserve">Enjoliveur 2BP KNX  </t>
  </si>
  <si>
    <r>
      <t xml:space="preserve">Enjoliveur RJ45 </t>
    </r>
    <r>
      <rPr>
        <sz val="9"/>
        <color theme="2"/>
        <rFont val="Calibri (Corps)"/>
      </rPr>
      <t xml:space="preserve"> </t>
    </r>
  </si>
  <si>
    <t xml:space="preserve">Enjoliveur PC  </t>
  </si>
  <si>
    <t xml:space="preserve">Support griffe </t>
  </si>
  <si>
    <t xml:space="preserve">Support </t>
  </si>
  <si>
    <r>
      <t>Sortie de cable</t>
    </r>
    <r>
      <rPr>
        <sz val="9"/>
        <color theme="2"/>
        <rFont val="Calibri (Corps)"/>
      </rPr>
      <t xml:space="preserve"> </t>
    </r>
  </si>
  <si>
    <t xml:space="preserve">Meca PC  </t>
  </si>
  <si>
    <t xml:space="preserve">Meca TV </t>
  </si>
  <si>
    <t xml:space="preserve">Meca inter/BP </t>
  </si>
  <si>
    <t xml:space="preserve">Meca RJ45 </t>
  </si>
  <si>
    <t>HAGER CUBYKO</t>
  </si>
  <si>
    <t>WNA401B</t>
  </si>
  <si>
    <t>support encastrement simple</t>
  </si>
  <si>
    <t>WNA402B</t>
  </si>
  <si>
    <t xml:space="preserve"> support d'encastrement double H</t>
  </si>
  <si>
    <t>WNA403B</t>
  </si>
  <si>
    <t>support encastrement triple H</t>
  </si>
  <si>
    <t>WNA105B</t>
  </si>
  <si>
    <t xml:space="preserve">méca pc détrompage </t>
  </si>
  <si>
    <t>WNA100B</t>
  </si>
  <si>
    <t xml:space="preserve">méca PC </t>
  </si>
  <si>
    <t>WNA001B</t>
  </si>
  <si>
    <t>méca Inter</t>
  </si>
  <si>
    <t>WNA040B</t>
  </si>
  <si>
    <t>méca double Inter</t>
  </si>
  <si>
    <t>WNA020B</t>
  </si>
  <si>
    <t>méca BP</t>
  </si>
  <si>
    <t>WNA021B</t>
  </si>
  <si>
    <t xml:space="preserve">méca Bp a voyant </t>
  </si>
  <si>
    <t>WNA044B</t>
  </si>
  <si>
    <t>méca double BP</t>
  </si>
  <si>
    <t>WNA455B</t>
  </si>
  <si>
    <t>adaptateur systo KNX</t>
  </si>
  <si>
    <t>WNA401</t>
  </si>
  <si>
    <t>WNA402</t>
  </si>
  <si>
    <t>suport encastrement double</t>
  </si>
  <si>
    <t>WNA403</t>
  </si>
  <si>
    <t xml:space="preserve">support encastrement triple </t>
  </si>
  <si>
    <t>WNA100</t>
  </si>
  <si>
    <t>méca PC</t>
  </si>
  <si>
    <t>WNA001</t>
  </si>
  <si>
    <t>WNA040</t>
  </si>
  <si>
    <t>méca double inter</t>
  </si>
  <si>
    <t>WNA020</t>
  </si>
  <si>
    <t>WNA044</t>
  </si>
  <si>
    <t>WNA155</t>
  </si>
  <si>
    <t>sorti de cable</t>
  </si>
  <si>
    <t>Inter compléte</t>
  </si>
  <si>
    <t>IN HOUSE</t>
  </si>
  <si>
    <t>SO2</t>
  </si>
  <si>
    <t xml:space="preserve">solaiore led </t>
  </si>
  <si>
    <t>UP001</t>
  </si>
  <si>
    <t>spot LED rond</t>
  </si>
  <si>
    <t>SPCB</t>
  </si>
  <si>
    <t>spot carré fixe</t>
  </si>
  <si>
    <t>UP010</t>
  </si>
  <si>
    <t>spot encastrable rond 10W</t>
  </si>
  <si>
    <t>SPBF</t>
  </si>
  <si>
    <r>
      <t xml:space="preserve">colerette </t>
    </r>
    <r>
      <rPr>
        <sz val="9"/>
        <color theme="2"/>
        <rFont val="Calibri (Corps)"/>
      </rPr>
      <t>#2</t>
    </r>
  </si>
  <si>
    <t>blanche</t>
  </si>
  <si>
    <t>EN53</t>
  </si>
  <si>
    <t>5W</t>
  </si>
  <si>
    <t xml:space="preserve">alu </t>
  </si>
  <si>
    <t>EN53N</t>
  </si>
  <si>
    <t>EN93</t>
  </si>
  <si>
    <t>9W</t>
  </si>
  <si>
    <t>EN183</t>
  </si>
  <si>
    <t>18W</t>
  </si>
  <si>
    <t>EN273</t>
  </si>
  <si>
    <t>27W</t>
  </si>
  <si>
    <t>PRO30BL</t>
  </si>
  <si>
    <t>30W projecteur modulable</t>
  </si>
  <si>
    <t>PRODETEC30NR</t>
  </si>
  <si>
    <t>detecteur</t>
  </si>
  <si>
    <t>SIPL6060BN01</t>
  </si>
  <si>
    <t>dalle 600x600 4000k</t>
  </si>
  <si>
    <t>SIPL6060BC01</t>
  </si>
  <si>
    <t>dalle 600x600 3000k</t>
  </si>
  <si>
    <t>ET12030W/EVO</t>
  </si>
  <si>
    <t>Etanche led 30w 3600lm traverssant 1m20</t>
  </si>
  <si>
    <t>ET15050W/EVO</t>
  </si>
  <si>
    <t>Etanche led 50w 6000lm traverssant 1m50</t>
  </si>
  <si>
    <t>HUB15B</t>
  </si>
  <si>
    <t>Hublot blanc 16w led</t>
  </si>
  <si>
    <t>HUB15B-PIR</t>
  </si>
  <si>
    <t>Hublot blanc 16w led avec détecteur</t>
  </si>
  <si>
    <t>FARO</t>
  </si>
  <si>
    <t>piquer noire h 60cm</t>
  </si>
  <si>
    <t>piquer noire h 28cm</t>
  </si>
  <si>
    <t>piquet prise</t>
  </si>
  <si>
    <t>INVERLIGTH</t>
  </si>
  <si>
    <t>BAP1T1BT</t>
  </si>
  <si>
    <t>BACKSPIN PLUS</t>
  </si>
  <si>
    <t>browntech</t>
  </si>
  <si>
    <t>BAPPB1IN</t>
  </si>
  <si>
    <t xml:space="preserve">piquet backspin plus </t>
  </si>
  <si>
    <t>CASP1BT</t>
  </si>
  <si>
    <t>Casquette backspin plus</t>
  </si>
  <si>
    <t>BAP1T1IN</t>
  </si>
  <si>
    <t>BAP1T1N</t>
  </si>
  <si>
    <t>AH1P1P1BT</t>
  </si>
  <si>
    <t>AD HOC</t>
  </si>
  <si>
    <t>NR1ZA006</t>
  </si>
  <si>
    <t>PIQUET CARNOSTIE</t>
  </si>
  <si>
    <t>CN1P1H12BT</t>
  </si>
  <si>
    <t>PERCHE CARNOSTIE 60cm</t>
  </si>
  <si>
    <t>CH13P1H1P2BT</t>
  </si>
  <si>
    <t>PERCHE CHIDINO 13</t>
  </si>
  <si>
    <t>CH4P1H2B2BT</t>
  </si>
  <si>
    <t xml:space="preserve">PERCHE CHIDINO </t>
  </si>
  <si>
    <t>CH7P1H2B2BT</t>
  </si>
  <si>
    <t>PERCHE CHIDINO 7</t>
  </si>
  <si>
    <t>MR13CA1</t>
  </si>
  <si>
    <t>boite encastrement marelle 13</t>
  </si>
  <si>
    <t>MR13F21BT</t>
  </si>
  <si>
    <t>MARELLE 13</t>
  </si>
  <si>
    <t>RAW08F12BT</t>
  </si>
  <si>
    <t>Rascasse 8</t>
  </si>
  <si>
    <t>boite encastrement rascasse 8</t>
  </si>
  <si>
    <t>RAW25FY2BT</t>
  </si>
  <si>
    <t>Rascasse 25</t>
  </si>
  <si>
    <t>boite encastrement rascasse 25</t>
  </si>
  <si>
    <t>BEGA</t>
  </si>
  <si>
    <t>visiére Bega</t>
  </si>
  <si>
    <t xml:space="preserve">graphite </t>
  </si>
  <si>
    <t xml:space="preserve">boitier encastrement </t>
  </si>
  <si>
    <t>OGGI luce</t>
  </si>
  <si>
    <t>6055WH20</t>
  </si>
  <si>
    <r>
      <t xml:space="preserve">colerette carrée </t>
    </r>
    <r>
      <rPr>
        <sz val="9"/>
        <color theme="2"/>
        <rFont val="Calibri (Corps)"/>
      </rPr>
      <t>#2</t>
    </r>
  </si>
  <si>
    <t>601400B</t>
  </si>
  <si>
    <t>boitier encastrement pour spot</t>
  </si>
  <si>
    <t>605E0840WH</t>
  </si>
  <si>
    <t>spot encastrable 8W</t>
  </si>
  <si>
    <t>620T05WH</t>
  </si>
  <si>
    <t>spot XOLED 5W</t>
  </si>
  <si>
    <t>spot DIVO</t>
  </si>
  <si>
    <t>Pado 20/30/50W</t>
  </si>
  <si>
    <t>Pado 50/70/100W</t>
  </si>
  <si>
    <t xml:space="preserve">Pado detection </t>
  </si>
  <si>
    <t>GAINE</t>
  </si>
  <si>
    <t>D.63 / 25M</t>
  </si>
  <si>
    <t>rouge</t>
  </si>
  <si>
    <t>D.50 / 25M</t>
  </si>
  <si>
    <t xml:space="preserve">verte </t>
  </si>
  <si>
    <t>ICTA50F</t>
  </si>
  <si>
    <t>D.50 / 50M</t>
  </si>
  <si>
    <t>grise</t>
  </si>
  <si>
    <t>ICTA40F</t>
  </si>
  <si>
    <t>D.40 / 50M</t>
  </si>
  <si>
    <t>ICTA32F</t>
  </si>
  <si>
    <t>D.32 / 50M</t>
  </si>
  <si>
    <t>ICTA25F</t>
  </si>
  <si>
    <t>D.25 /100M</t>
  </si>
  <si>
    <t>ICTA20F</t>
  </si>
  <si>
    <t>D.20 / 100M</t>
  </si>
  <si>
    <t>4G 1.5 / 100M</t>
  </si>
  <si>
    <t>3G 1.5 / 100M</t>
  </si>
  <si>
    <t>3G 2.5 / 100M</t>
  </si>
  <si>
    <t>5G 1.5 100M</t>
  </si>
  <si>
    <t xml:space="preserve"> RJ45 / 100M</t>
  </si>
  <si>
    <t>TV / 100M</t>
  </si>
  <si>
    <t>3G 1.5 précablé / 100M</t>
  </si>
  <si>
    <t>3G 2.5 précablé / 100M</t>
  </si>
  <si>
    <t xml:space="preserve">GAINE </t>
  </si>
  <si>
    <r>
      <t>D.40 / 25M</t>
    </r>
    <r>
      <rPr>
        <sz val="9"/>
        <color theme="2"/>
        <rFont val="Calibri (Corps)"/>
      </rPr>
      <t xml:space="preserve"> </t>
    </r>
  </si>
  <si>
    <t xml:space="preserve">D.40 / 25M </t>
  </si>
  <si>
    <t>bus précablé / 100M</t>
  </si>
  <si>
    <t>FILERIE</t>
  </si>
  <si>
    <t>HO7V-U</t>
  </si>
  <si>
    <t>2.5 rouge</t>
  </si>
  <si>
    <t>2.5 bleu</t>
  </si>
  <si>
    <t>2.5 terre</t>
  </si>
  <si>
    <t>2.5 noir</t>
  </si>
  <si>
    <t>2.5 marron</t>
  </si>
  <si>
    <t>1.5 rouge</t>
  </si>
  <si>
    <t>1.5 bleu</t>
  </si>
  <si>
    <t>1.5 terre</t>
  </si>
  <si>
    <t>1.5 marron</t>
  </si>
  <si>
    <t>1.5 blanc</t>
  </si>
  <si>
    <t>1.5 violet</t>
  </si>
  <si>
    <t>1.5 orange</t>
  </si>
  <si>
    <t>1.5 gris</t>
  </si>
  <si>
    <t>1.5 noir</t>
  </si>
  <si>
    <t>6 rouge</t>
  </si>
  <si>
    <t>6 bleu</t>
  </si>
  <si>
    <t>6 terre</t>
  </si>
  <si>
    <t>CABLE</t>
  </si>
  <si>
    <t>R2V 3G1.5</t>
  </si>
  <si>
    <t>100M</t>
  </si>
  <si>
    <t xml:space="preserve"> R2V 5G1.5</t>
  </si>
  <si>
    <t>R2V 3G2.5</t>
  </si>
  <si>
    <t xml:space="preserve">100M </t>
  </si>
  <si>
    <t>R2V 5G2.5</t>
  </si>
  <si>
    <t>CABLE BUS</t>
  </si>
  <si>
    <t>CBUSEIB</t>
  </si>
  <si>
    <t>500M</t>
  </si>
  <si>
    <t xml:space="preserve">ruban led chantier 50M avec derouleur </t>
  </si>
  <si>
    <t>L50050W</t>
  </si>
  <si>
    <t>Clou 20</t>
  </si>
  <si>
    <t>Clou 25</t>
  </si>
  <si>
    <t>ERIS CONSO</t>
  </si>
  <si>
    <t>PEMPZO</t>
  </si>
  <si>
    <t>presse E toupe</t>
  </si>
  <si>
    <t>EURO OHM</t>
  </si>
  <si>
    <t>cavalier 12 à 16 mm ( boite 100 )</t>
  </si>
  <si>
    <t>cavalier  20 mm ( boite 100 )</t>
  </si>
  <si>
    <t>cavalier 8 à 12mm ( boite 100 )</t>
  </si>
  <si>
    <t>GEWISS</t>
  </si>
  <si>
    <t>GW50616</t>
  </si>
  <si>
    <t>cavalier 15 à 15mm ( boite 100 )</t>
  </si>
  <si>
    <t>GW50617</t>
  </si>
  <si>
    <t>cavalier 19 à 20 mm ( boite 100 )</t>
  </si>
  <si>
    <t>WURTH</t>
  </si>
  <si>
    <t>gel d'étanchéité</t>
  </si>
  <si>
    <t>BERNER</t>
  </si>
  <si>
    <t>gel d'étanchéité rapide</t>
  </si>
  <si>
    <t>TRADE FORCE</t>
  </si>
  <si>
    <t xml:space="preserve">80x80 boite dérivation </t>
  </si>
  <si>
    <t>boite dérivation ronde 650 mm</t>
  </si>
  <si>
    <t>boite dérivation rectangle</t>
  </si>
  <si>
    <t>DR KNX</t>
  </si>
  <si>
    <t>CREALED</t>
  </si>
  <si>
    <t>DME ZT KNX</t>
  </si>
  <si>
    <t>THEBEN</t>
  </si>
  <si>
    <t>DALI -GATEWAY S44 KNX</t>
  </si>
  <si>
    <t>ALIM MDT AKS</t>
  </si>
  <si>
    <t>TYA 608C</t>
  </si>
  <si>
    <t>TYA 663 AN</t>
  </si>
  <si>
    <t>TXA 025</t>
  </si>
  <si>
    <t>TXB 322</t>
  </si>
  <si>
    <t>ZENNIO</t>
  </si>
  <si>
    <t>FLAT 55</t>
  </si>
  <si>
    <t>DISPLAY V2</t>
  </si>
  <si>
    <t>TXB 304</t>
  </si>
  <si>
    <t>SBN 463</t>
  </si>
  <si>
    <t>CDB 740F</t>
  </si>
  <si>
    <t>BD446</t>
  </si>
  <si>
    <t>CDF 863 F</t>
  </si>
  <si>
    <t>CFC 863 F</t>
  </si>
  <si>
    <t>CDC 825 F</t>
  </si>
  <si>
    <t>NFN 420</t>
  </si>
  <si>
    <t>NFT 816</t>
  </si>
  <si>
    <t>NFT 810</t>
  </si>
  <si>
    <t>BDC 425 F</t>
  </si>
  <si>
    <t>HAB 406</t>
  </si>
  <si>
    <t>EPN052</t>
  </si>
  <si>
    <t>EPN050</t>
  </si>
  <si>
    <t>NFT 710</t>
  </si>
  <si>
    <t>MHT 720</t>
  </si>
  <si>
    <t>BDC 840</t>
  </si>
  <si>
    <t>TN 007</t>
  </si>
  <si>
    <t>BDC 480 E</t>
  </si>
  <si>
    <t>MZ 915</t>
  </si>
  <si>
    <t>CB2007</t>
  </si>
  <si>
    <t>Double enjo + voyant</t>
  </si>
  <si>
    <t>CB0043</t>
  </si>
  <si>
    <t>Enjo vr</t>
  </si>
  <si>
    <t>CM0044</t>
  </si>
  <si>
    <t>Poussoir vr</t>
  </si>
  <si>
    <t>CM0043</t>
  </si>
  <si>
    <t>Inter vr</t>
  </si>
  <si>
    <t>0695 69L</t>
  </si>
  <si>
    <t>Mega Rj</t>
  </si>
  <si>
    <t>Flom Mini</t>
  </si>
  <si>
    <t>F12</t>
  </si>
  <si>
    <t>LEDVANCE</t>
  </si>
  <si>
    <t>Ampoule LED classic A 60w</t>
  </si>
  <si>
    <t>Ampoule LED classic P 40w</t>
  </si>
  <si>
    <t>Ampoule LED classic A 75w</t>
  </si>
  <si>
    <t>OSRAM</t>
  </si>
  <si>
    <t>OSR 809406</t>
  </si>
  <si>
    <t>Ampoule globe LED 52w 6,5w</t>
  </si>
  <si>
    <t>gold</t>
  </si>
  <si>
    <t>Vintage 1906</t>
  </si>
  <si>
    <t>Ampole LED 2,2w 12watt</t>
  </si>
  <si>
    <t>AC45231</t>
  </si>
  <si>
    <t>Ampoule LED 6,5w 55watt</t>
  </si>
  <si>
    <t>LUMEN XL</t>
  </si>
  <si>
    <t>transparent</t>
  </si>
  <si>
    <t>GIRARD SUDRON</t>
  </si>
  <si>
    <t xml:space="preserve">Ampoule globe claire 2300k </t>
  </si>
  <si>
    <t>blanc chaud</t>
  </si>
  <si>
    <t>PAULMANN</t>
  </si>
  <si>
    <t>Ampoule LED 60w 1800-3000k</t>
  </si>
  <si>
    <t>BAILEY</t>
  </si>
  <si>
    <t>Ampoule LED filamant ST64 E27 2200k</t>
  </si>
  <si>
    <t>Ampoule long filament ST64 E27 2200K</t>
  </si>
  <si>
    <t>clear</t>
  </si>
  <si>
    <t>F13</t>
  </si>
  <si>
    <t>EIVA</t>
  </si>
  <si>
    <t>PHILIPS</t>
  </si>
  <si>
    <t>PL27PNEIVAZ</t>
  </si>
  <si>
    <t>Douille à 2 sorties E27 waterproof</t>
  </si>
  <si>
    <t>PL27PNEIVA</t>
  </si>
  <si>
    <t>Douille E27 waterproof</t>
  </si>
  <si>
    <t>Coupelle Grolet</t>
  </si>
  <si>
    <t>rosace</t>
  </si>
  <si>
    <t>F7</t>
  </si>
  <si>
    <t>Ampoule E27 270lm 4w LED</t>
  </si>
  <si>
    <t>VISION EL</t>
  </si>
  <si>
    <t>Ampoule E27 230v 2700k LED 8w</t>
  </si>
  <si>
    <t>golden</t>
  </si>
  <si>
    <t>Ampoule spiraled ST64 E27 4w 2200k</t>
  </si>
  <si>
    <t>F8</t>
  </si>
  <si>
    <t>THOMSON</t>
  </si>
  <si>
    <t>SPL</t>
  </si>
  <si>
    <t>ORBITEC</t>
  </si>
  <si>
    <t>MATHIEU</t>
  </si>
  <si>
    <t xml:space="preserve">MIIDEX </t>
  </si>
  <si>
    <t>WELL LIT</t>
  </si>
  <si>
    <t>Master ledluster 6w 470lm 2200-2700k</t>
  </si>
  <si>
    <t>Parathom E27 60w 806lm 4000k</t>
  </si>
  <si>
    <t>Spéciel LED T slim 60 dim E27</t>
  </si>
  <si>
    <t>Parathom dim 50w 350lm 2700k</t>
  </si>
  <si>
    <t>Concentra spot r80 60w 240v E27</t>
  </si>
  <si>
    <t>claire</t>
  </si>
  <si>
    <t>Ampoule filament mét spiralé 2700k 40w</t>
  </si>
  <si>
    <t>Ampoule filament LED G45 270lm 2200k</t>
  </si>
  <si>
    <t>Ampoule filament LED 4w E27 340lm</t>
  </si>
  <si>
    <t>ambré</t>
  </si>
  <si>
    <t>Ampoule classic eco superstar 57w 915lm</t>
  </si>
  <si>
    <t>Ampoule classic eco superstar 77w 1320lm</t>
  </si>
  <si>
    <t>LF023820301</t>
  </si>
  <si>
    <t>Ampoule E27 led DIM 2500K 30W</t>
  </si>
  <si>
    <t>Core pro led stick 3000k 950lm</t>
  </si>
  <si>
    <t>005518SR3211</t>
  </si>
  <si>
    <t>Ampoule 40w E27 12v 40w</t>
  </si>
  <si>
    <t>Parathm dim 60w 806lm 2700k</t>
  </si>
  <si>
    <t>Ampolule LED filament candle amber 280lm 2500k</t>
  </si>
  <si>
    <t>Ampoule LED filament wave C35 cosy E14 240v 3w</t>
  </si>
  <si>
    <t>7491CD</t>
  </si>
  <si>
    <t xml:space="preserve">Ampoule dim 6w 510lm </t>
  </si>
  <si>
    <t>AC34013</t>
  </si>
  <si>
    <t>Ampoule superior class 40w 470lm dim</t>
  </si>
  <si>
    <t>Ampoule 4w 300lm 220-240v 2200k</t>
  </si>
  <si>
    <t>Ampolule classic B40 dim 40w 470lm</t>
  </si>
  <si>
    <t>Ampoule LED E14 470lm 2700k 5w</t>
  </si>
  <si>
    <t>Ampoule classic P40 dim 40w 470lm</t>
  </si>
  <si>
    <t>Ampoule Kaso led filament dim E14 small edison screw</t>
  </si>
  <si>
    <t>Ampoule classic 700lm E14</t>
  </si>
  <si>
    <t>Ampoule Kaso 200lm E27 dim clean golf ball</t>
  </si>
  <si>
    <t>Ampoule Nina A60/GLS/E27 dim</t>
  </si>
  <si>
    <t>Ampoule Anko C35/E14/clear candle</t>
  </si>
  <si>
    <t>Ampoule Polo C35/E14/frosted candle</t>
  </si>
  <si>
    <t>Ampoule parathom dim 40w 470lm 2700k</t>
  </si>
  <si>
    <t>Ampoule parathon dim 40w 470lm 2700k</t>
  </si>
  <si>
    <t>Ampoule parathon advanced 230lm 2700k</t>
  </si>
  <si>
    <t xml:space="preserve">Ampoule parathon retrofitv2700k 470lm </t>
  </si>
  <si>
    <t>LUXNA</t>
  </si>
  <si>
    <t>SYLVANIA</t>
  </si>
  <si>
    <t>Ampoule core pro 40w470lm 2700k</t>
  </si>
  <si>
    <t>Ampoule core pro led candle 40w 470lm 2700k</t>
  </si>
  <si>
    <t xml:space="preserve">Ampoule core pro led spot nv R50 320lm 2700k </t>
  </si>
  <si>
    <t>Ampoule led cool white 400k 40w E14</t>
  </si>
  <si>
    <t>Halolux T 25w 260lm E14</t>
  </si>
  <si>
    <t>Ampoule core pro led candle 470lm 2700k</t>
  </si>
  <si>
    <t>Ampoule core pro led spot nv R50 2700k</t>
  </si>
  <si>
    <t>Ampoule core led luster 806lm 2700k</t>
  </si>
  <si>
    <t>Ampoule extalight 12w741lm tornado</t>
  </si>
  <si>
    <t>1519-0005</t>
  </si>
  <si>
    <t>Ampoule 630lm E14 2700k</t>
  </si>
  <si>
    <t>Ampouel dim 40w 470lm E14</t>
  </si>
  <si>
    <t>Ampoule parathon 806lm 2700k</t>
  </si>
  <si>
    <t>Ampoule parathon 470lm 2700k</t>
  </si>
  <si>
    <t>Ampoule classic 405lm E14</t>
  </si>
  <si>
    <t xml:space="preserve">Ampoule classic 40w E14 </t>
  </si>
  <si>
    <t xml:space="preserve">Ampoule filament alogena 18w 205lm </t>
  </si>
  <si>
    <t>F9</t>
  </si>
  <si>
    <t>INHOUSE LED</t>
  </si>
  <si>
    <t>Ampoule standard 3000k low</t>
  </si>
  <si>
    <t xml:space="preserve">Ampoule led 2700k E27 806lm </t>
  </si>
  <si>
    <t>Ampoule led 2700k E27 1060lm</t>
  </si>
  <si>
    <t>E20LE27ST3K</t>
  </si>
  <si>
    <t>Ampoule E27 3000k 810lm</t>
  </si>
  <si>
    <t>F3</t>
  </si>
  <si>
    <t>Ampoule led MR16 35.36° dim</t>
  </si>
  <si>
    <t xml:space="preserve">LED par 16 35.36° dim 35w </t>
  </si>
  <si>
    <t>LED par 15 50.36° dim 50w</t>
  </si>
  <si>
    <t>LED par 16 80.36° dim 80w</t>
  </si>
  <si>
    <t>G7</t>
  </si>
  <si>
    <t>COLLINGWOOD</t>
  </si>
  <si>
    <t xml:space="preserve">GL0389WBM30 </t>
  </si>
  <si>
    <t>argent</t>
  </si>
  <si>
    <t>GL018CABBN</t>
  </si>
  <si>
    <t>Spot</t>
  </si>
  <si>
    <t>Spot encastrable IP68</t>
  </si>
  <si>
    <t>laiton</t>
  </si>
  <si>
    <t>GL100DX1X30</t>
  </si>
  <si>
    <t>WL220BWBN30</t>
  </si>
  <si>
    <t>DL CONVERT 70WH</t>
  </si>
  <si>
    <t>Plaque d'adaptation</t>
  </si>
  <si>
    <t>GL040DWBX30</t>
  </si>
  <si>
    <t xml:space="preserve">Spot encastrable </t>
  </si>
  <si>
    <t>DLFF38WHWWDIN</t>
  </si>
  <si>
    <t>Spot ( Halens H4FF )</t>
  </si>
  <si>
    <t>MEAN WELL</t>
  </si>
  <si>
    <t>HLG600H24A</t>
  </si>
  <si>
    <t>Alim 600w 24v</t>
  </si>
  <si>
    <t>G13</t>
  </si>
  <si>
    <t>G15</t>
  </si>
  <si>
    <t>G14</t>
  </si>
  <si>
    <t>605E0830WH</t>
  </si>
  <si>
    <t>Spot encastrable 8w 3000k</t>
  </si>
  <si>
    <t>Pado détection</t>
  </si>
  <si>
    <t>2BP + 4T 12 + 2 LED</t>
  </si>
  <si>
    <t>2INVA + 2BP + GR</t>
  </si>
  <si>
    <t>nickel</t>
  </si>
  <si>
    <t>1 inva</t>
  </si>
  <si>
    <t>bm clair</t>
  </si>
  <si>
    <t xml:space="preserve">4 inva </t>
  </si>
  <si>
    <t xml:space="preserve">1 PC   </t>
  </si>
  <si>
    <t>2 PC</t>
  </si>
  <si>
    <t>4 BP en domino</t>
  </si>
  <si>
    <t>1 PC + 1 DOUBLE USB A + C</t>
  </si>
  <si>
    <t>laiton nm</t>
  </si>
  <si>
    <t>B1 B2 B2</t>
  </si>
  <si>
    <t>NM</t>
  </si>
  <si>
    <t>B1 B1 B1</t>
  </si>
  <si>
    <t>PC PC PC</t>
  </si>
  <si>
    <t>B2 PC PC</t>
  </si>
  <si>
    <t>276-818</t>
  </si>
  <si>
    <t>U1 PC</t>
  </si>
  <si>
    <t>FDPM</t>
  </si>
  <si>
    <t>295-818</t>
  </si>
  <si>
    <t>155-818</t>
  </si>
  <si>
    <t>B1 B2</t>
  </si>
  <si>
    <t>B1 B1</t>
  </si>
  <si>
    <t>FSCD</t>
  </si>
  <si>
    <t>174-818</t>
  </si>
  <si>
    <t>152-818</t>
  </si>
  <si>
    <t>260-818</t>
  </si>
  <si>
    <t>PC PC</t>
  </si>
  <si>
    <t>ES2981</t>
  </si>
  <si>
    <t>Cadre simple</t>
  </si>
  <si>
    <t>Interv2x VV à encastrer</t>
  </si>
  <si>
    <t>170-01515</t>
  </si>
  <si>
    <t>Inter double à encastrer</t>
  </si>
  <si>
    <t>100-76800</t>
  </si>
  <si>
    <t>Plaque double</t>
  </si>
  <si>
    <t>blanc cassé</t>
  </si>
  <si>
    <t>120-76700</t>
  </si>
  <si>
    <t>Plaque triple</t>
  </si>
  <si>
    <t>101-51105</t>
  </si>
  <si>
    <t>Enjoliveur</t>
  </si>
  <si>
    <t>crème</t>
  </si>
  <si>
    <t>101-66601</t>
  </si>
  <si>
    <t>170-05615</t>
  </si>
  <si>
    <t>Inter VV</t>
  </si>
  <si>
    <t>Plaque finition</t>
  </si>
  <si>
    <t>161-76700</t>
  </si>
  <si>
    <t>310-01801</t>
  </si>
  <si>
    <t>Variateur de vitesse</t>
  </si>
  <si>
    <t>WXD000B</t>
  </si>
  <si>
    <t>Enjo prise affleurante</t>
  </si>
  <si>
    <t>Enjo USB</t>
  </si>
  <si>
    <t>Enjo RJ45</t>
  </si>
  <si>
    <t>Enjo interupteur</t>
  </si>
  <si>
    <t>PRIS-EU</t>
  </si>
  <si>
    <t>HUB20B</t>
  </si>
  <si>
    <t xml:space="preserve">Hublot led </t>
  </si>
  <si>
    <t>Ultraflaches</t>
  </si>
  <si>
    <t>UP007</t>
  </si>
  <si>
    <t>Spot 7w dim</t>
  </si>
  <si>
    <t>UP005</t>
  </si>
  <si>
    <t>Spot 5w dim</t>
  </si>
  <si>
    <t>UP012N</t>
  </si>
  <si>
    <t>5w</t>
  </si>
  <si>
    <t>ET 15037</t>
  </si>
  <si>
    <t>37w étanche LED</t>
  </si>
  <si>
    <t>ET 12025</t>
  </si>
  <si>
    <t>25w étanche LED</t>
  </si>
  <si>
    <t>AC556335</t>
  </si>
  <si>
    <t>DAMPROOF 46w</t>
  </si>
  <si>
    <t>AC41132</t>
  </si>
  <si>
    <t>DAMPROOF 32w</t>
  </si>
  <si>
    <t>P64663</t>
  </si>
  <si>
    <t>60x60 LED PANEL 40w</t>
  </si>
  <si>
    <t>4x TC 5-14w HFP C3</t>
  </si>
  <si>
    <t>TBS165</t>
  </si>
  <si>
    <t>G4 x 14w/840HFP C3</t>
  </si>
  <si>
    <t>1,5 blanc ivoire</t>
  </si>
  <si>
    <t>5G2.5</t>
  </si>
  <si>
    <t>MOBIWAY 3G1.5</t>
  </si>
  <si>
    <t>MOBIWAY 5G1.5</t>
  </si>
  <si>
    <t>MOBIWAY 3G2.5</t>
  </si>
  <si>
    <t>MOBIWAY 5G2.5</t>
  </si>
  <si>
    <t>B00M 570</t>
  </si>
  <si>
    <t>842105-013</t>
  </si>
  <si>
    <t>Projecteur</t>
  </si>
  <si>
    <t>8433ZS-010</t>
  </si>
  <si>
    <t>22230K3</t>
  </si>
  <si>
    <t>Luminaire à encastrer</t>
  </si>
  <si>
    <t>33023K2</t>
  </si>
  <si>
    <t>10x10 boite dérivation</t>
  </si>
  <si>
    <t>BLM</t>
  </si>
  <si>
    <t>boite optibox lisse ip65 225x175x100mm</t>
  </si>
  <si>
    <t>controleur de tension 1à4 sorties</t>
  </si>
  <si>
    <t>DR DMX 4400C</t>
  </si>
  <si>
    <t>stock mort</t>
  </si>
  <si>
    <t>Colonne1</t>
  </si>
  <si>
    <t>4940301 Dali gateway S64 KNX</t>
  </si>
  <si>
    <t>PS 160ma T KNX</t>
  </si>
  <si>
    <t>TYA 664AN</t>
  </si>
  <si>
    <t>TYB S 702A</t>
  </si>
  <si>
    <t>Z41 COM</t>
  </si>
  <si>
    <t>zvi z41COM AP noir</t>
  </si>
  <si>
    <t>ne se fait plus</t>
  </si>
  <si>
    <t>ZDI-DBDX2</t>
  </si>
  <si>
    <t xml:space="preserve">dimin box dx2 </t>
  </si>
  <si>
    <t>ZDIDLB6V2</t>
  </si>
  <si>
    <t>dali box broadcast 6ch v2</t>
  </si>
  <si>
    <t>ZN1CL-KLIC-DI</t>
  </si>
  <si>
    <t xml:space="preserve">klic di knx bus </t>
  </si>
  <si>
    <t>TYB S704a</t>
  </si>
  <si>
    <t>TX 410</t>
  </si>
  <si>
    <t>HCT251JB</t>
  </si>
  <si>
    <t>SPB 815D</t>
  </si>
  <si>
    <t>PARAFOUDRE</t>
  </si>
  <si>
    <t>INTER MODULAIRE 4 POLES</t>
  </si>
  <si>
    <t>INTER DIFF</t>
  </si>
  <si>
    <t>BLOC DIFF</t>
  </si>
  <si>
    <t xml:space="preserve">INTER DIFF </t>
  </si>
  <si>
    <t>INET DIFF 3P+ N 63A 300MA</t>
  </si>
  <si>
    <t>NOUVELLE REF CDF825F INETR DIFF 3P+N 25A 30MA</t>
  </si>
  <si>
    <t>disjoncteur 4p 6-10ka courbe c 20a 4 modules</t>
  </si>
  <si>
    <t>disjoncteur 3p+n 6-10ka courbe c 16a 3 moudules</t>
  </si>
  <si>
    <t>disjncteur 3p +n 6-10ka courbe c 10a 3 modules</t>
  </si>
  <si>
    <t xml:space="preserve">bloc diff 3p+n 25a 30ma type ac </t>
  </si>
  <si>
    <t>inter à coupure apparente 4p 63a</t>
  </si>
  <si>
    <t>aux cde cent plusieurs groupes</t>
  </si>
  <si>
    <t>auxiliaire pour la commande centralisée d'un groupe</t>
  </si>
  <si>
    <t>télérupteur 1o+1f 230v</t>
  </si>
  <si>
    <t>EN145</t>
  </si>
  <si>
    <t>relais dinterface tbt bt tension d'entrée 10à 26v</t>
  </si>
  <si>
    <t>disjon 1p+n 6-10ka courbe c 10a 1 module</t>
  </si>
  <si>
    <t>disj 1p+n 4,5-6 ka courbe b 20a 1 module</t>
  </si>
  <si>
    <t>bloc diff double sortie 4p 40a 30ma type ac</t>
  </si>
  <si>
    <t>jeu de 4 connecteurs rj45 cat,6 pour grade 2tv</t>
  </si>
  <si>
    <t>TN 008S</t>
  </si>
  <si>
    <t>connecteur rj45 cat,6a + support modulaire pour grade 3tv</t>
  </si>
  <si>
    <t>TN 001S</t>
  </si>
  <si>
    <t>TN 002S</t>
  </si>
  <si>
    <t>connecteur rj45 cat 5e pour grade 1 +support modulaire</t>
  </si>
  <si>
    <t>connecteur rj45 cat 6 pour garde 3 + support modulaire</t>
  </si>
  <si>
    <t>bloc diff 4p 125a 30ma tpe ac</t>
  </si>
  <si>
    <t>aux. De télécommande et réarmement auto</t>
  </si>
  <si>
    <t>HYA 022 H</t>
  </si>
  <si>
    <t>cache borne x160 4p long pour cosse et rallonge plage</t>
  </si>
  <si>
    <t>HYT 022 H</t>
  </si>
  <si>
    <t>capot cache-bornes pour rallonge de plage p250 4p</t>
  </si>
  <si>
    <t>HYT 002 H</t>
  </si>
  <si>
    <t>cage de raccordement p250 cu/al 4p 1x10-150mm²</t>
  </si>
  <si>
    <t>HYT 051 H</t>
  </si>
  <si>
    <t>isolation arriere pour capot cache brones rallonge de plge p250 4p</t>
  </si>
  <si>
    <t>HMC 499</t>
  </si>
  <si>
    <t>disjoncteur 4p 15ka courbe c 125a 6 moudules</t>
  </si>
  <si>
    <t>HMK 480</t>
  </si>
  <si>
    <t>disj 4p 30ka courbe c 80a 6modules</t>
  </si>
  <si>
    <t>463891 / AC70149</t>
  </si>
  <si>
    <t>060915 / AC45146</t>
  </si>
  <si>
    <t>067570 / AC32292</t>
  </si>
  <si>
    <t>LED Tubular 4,5w 35watt</t>
  </si>
  <si>
    <t>049873 / AC 44605</t>
  </si>
  <si>
    <t>Ampoule 480 lumens warm white</t>
  </si>
  <si>
    <t>porcelaine rosace céramique</t>
  </si>
  <si>
    <t>Ampoule master 60w DT59 mod: 9290030139A</t>
  </si>
  <si>
    <t>MIIDEX</t>
  </si>
  <si>
    <t>Ampoule 2700k 350lm E27 lumière chaude/ THOM62825-BMB4</t>
  </si>
  <si>
    <t>4058075607347 / AC32121</t>
  </si>
  <si>
    <t>3125460159901 / 15990</t>
  </si>
  <si>
    <t xml:space="preserve">ne se fait plus </t>
  </si>
  <si>
    <t>4058075590731 / AC32295</t>
  </si>
  <si>
    <t>4099854059032 / AC58026</t>
  </si>
  <si>
    <t>4099854059872 / AC57999</t>
  </si>
  <si>
    <t>4099854456299 / AC 70561</t>
  </si>
  <si>
    <t>Bulb à led évolution 5 240v 1w E14</t>
  </si>
  <si>
    <t>offert</t>
  </si>
  <si>
    <t>4058075591219 / AC32336</t>
  </si>
  <si>
    <t>3701124400642 / 71302</t>
  </si>
  <si>
    <t>4058075758445 / AC34013</t>
  </si>
  <si>
    <t>8719514347304/ 9290018904C</t>
  </si>
  <si>
    <t>8719514347267 / 9290018897C</t>
  </si>
  <si>
    <t>8718699762797 / 9290020276</t>
  </si>
  <si>
    <t>4058075591011 / AC32361</t>
  </si>
  <si>
    <t>8011905829117 / 1518</t>
  </si>
  <si>
    <t>DURA</t>
  </si>
  <si>
    <t>3760033022710 / L95101</t>
  </si>
  <si>
    <t>LITBY CARDI</t>
  </si>
  <si>
    <t>7630268401665 / LASTD01</t>
  </si>
  <si>
    <t>7630268401696 / LASTD04</t>
  </si>
  <si>
    <t>4099854059711 / AC57997</t>
  </si>
  <si>
    <t>NOIR MAT</t>
  </si>
  <si>
    <t xml:space="preserve">NOIR MAT </t>
  </si>
  <si>
    <t>WXD106B</t>
  </si>
  <si>
    <t>WXD112B</t>
  </si>
  <si>
    <t>WXD206T</t>
  </si>
  <si>
    <t>UP038</t>
  </si>
  <si>
    <t>TC S165</t>
  </si>
  <si>
    <t>300M</t>
  </si>
  <si>
    <t>250M</t>
  </si>
  <si>
    <t>200M</t>
  </si>
  <si>
    <t>150M</t>
  </si>
  <si>
    <t>FHP2255</t>
  </si>
  <si>
    <t>CABLE SONO 2x2,5</t>
  </si>
  <si>
    <t xml:space="preserve">Bega - Projecteur puissant, pour intérieur et extérieur, Graphite </t>
  </si>
  <si>
    <t>Interrupteur à déclenchement libre boitier moulé h3+ P250 4P</t>
  </si>
  <si>
    <t>H1</t>
  </si>
  <si>
    <t>L2S SYSTORM</t>
  </si>
  <si>
    <t>SYE16005G</t>
  </si>
  <si>
    <t xml:space="preserve">Cordon rj45 cat 6 0.5m </t>
  </si>
  <si>
    <t>SYE1601G</t>
  </si>
  <si>
    <t>Cordon rj45 cat6 1m</t>
  </si>
  <si>
    <t>SYE1602G</t>
  </si>
  <si>
    <t>Cordon rj45 cat6 2m</t>
  </si>
  <si>
    <t>H2</t>
  </si>
  <si>
    <t>TP-LINK</t>
  </si>
  <si>
    <t>EAP650</t>
  </si>
  <si>
    <t>Point d'accès Wifi 6 AX 3000 Mbits Giga</t>
  </si>
  <si>
    <t>EAP653</t>
  </si>
  <si>
    <t xml:space="preserve">Point d'accès Wifi 6 AX 3000 Mbits Giga </t>
  </si>
  <si>
    <t>EAP615 WALL</t>
  </si>
  <si>
    <t>Point d'accès Wifi 6 AX 1800 Mbits encastrable</t>
  </si>
  <si>
    <t>EAP650-OUTDOOR</t>
  </si>
  <si>
    <t>Point d'accès Wifi 6 AX 3000 Mbits Giga IP67</t>
  </si>
  <si>
    <t>EAP225-OUTDOOR</t>
  </si>
  <si>
    <t xml:space="preserve"> Point d'accès WiFi5 ac 1200Mbits Giga extérieur</t>
  </si>
  <si>
    <t>H3</t>
  </si>
  <si>
    <t>TL-SG1218MP</t>
  </si>
  <si>
    <t xml:space="preserve">Switch 19" 18 ports Giga (16xPOE+ 250 W) + 2 combo </t>
  </si>
  <si>
    <t>SG2428P</t>
  </si>
  <si>
    <t>Switch 19" 24 ports Giga POE+ 250 W + 4 SFP</t>
  </si>
  <si>
    <t>OC200</t>
  </si>
  <si>
    <t>Contrôleur OMADA OC200 jusqu'à 100 périphériques</t>
  </si>
  <si>
    <t>SG2210MP</t>
  </si>
  <si>
    <t xml:space="preserve">Switch 8 ports Giga PoE 150W + 2 SFP </t>
  </si>
  <si>
    <t>OC300</t>
  </si>
  <si>
    <t>Contrôleur OMADA OC300 jusqu'à 500 périphériques</t>
  </si>
  <si>
    <t>ER7212PC</t>
  </si>
  <si>
    <t>Routeur Gigabit Multi-WAN VPN POE + Omada ctrl</t>
  </si>
  <si>
    <t>H6</t>
  </si>
  <si>
    <t>IB1432</t>
  </si>
  <si>
    <t>ACOME</t>
  </si>
  <si>
    <t>Tiroir optique iLIA 24 fo OM3/OM4 avec 12 raccords LC Duplex</t>
  </si>
  <si>
    <t>Tiroir optique 19'' 1u - 12p lcd os2</t>
  </si>
  <si>
    <t>TC1U12PLCDOS2</t>
  </si>
  <si>
    <t>MMC</t>
  </si>
  <si>
    <t>H4</t>
  </si>
  <si>
    <t>Excel</t>
  </si>
  <si>
    <t xml:space="preserve"> PASSE BALAI AFFLEURANT 1U</t>
  </si>
  <si>
    <t>100-599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</si>
</sst>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\ &quot;€&quot;"/>
    <numFmt numFmtId="165" formatCode="000000"/>
    <numFmt numFmtId="166" formatCode="dd/mm/yy;@"/>
  </numFmts>
  <fonts count="5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21636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236767"/>
      <name val="Calibri"/>
      <family val="2"/>
      <scheme val="minor"/>
    </font>
    <font>
      <b/>
      <sz val="20"/>
      <color rgb="FF0ABEB5"/>
      <name val="Calibri"/>
      <family val="2"/>
      <scheme val="minor"/>
    </font>
    <font>
      <b/>
      <sz val="20"/>
      <color rgb="FFFF5E3E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14"/>
      <color rgb="FF25252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2"/>
      <name val="Calibri (Corps)"/>
    </font>
    <font>
      <sz val="12"/>
      <name val="Calibri"/>
      <family val="2"/>
      <scheme val="minor"/>
    </font>
    <font>
      <sz val="11"/>
      <color rgb="FF212529"/>
      <name val="Arial"/>
      <family val="2"/>
    </font>
    <font>
      <sz val="11"/>
      <color theme="1"/>
      <name val="Calibri (Corps)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 (Corps)"/>
    </font>
    <font>
      <sz val="11"/>
      <name val="Calibri (Corps)"/>
    </font>
    <font>
      <sz val="9"/>
      <color rgb="FF212121"/>
      <name val="Arial"/>
      <family val="2"/>
    </font>
    <font>
      <sz val="9"/>
      <color theme="1"/>
      <name val="Calibri (Corps)"/>
    </font>
    <font>
      <sz val="9"/>
      <name val="Calibri (Corps)"/>
    </font>
    <font>
      <sz val="11"/>
      <color rgb="FF212529"/>
      <name val="Calibri"/>
      <family val="2"/>
    </font>
    <font>
      <b/>
      <sz val="10"/>
      <color theme="0"/>
      <name val="Calibri"/>
      <family val="2"/>
      <scheme val="minor"/>
    </font>
    <font>
      <sz val="10"/>
      <color rgb="FF4A4A4A"/>
      <name val="Arial"/>
      <family val="2"/>
    </font>
    <font>
      <b/>
      <sz val="11"/>
      <color rgb="FFFA7D00"/>
      <name val="Calibri"/>
      <family val="2"/>
      <scheme val="minor"/>
    </font>
    <font>
      <sz val="10"/>
      <color rgb="FF212529"/>
      <name val="Arial"/>
      <family val="2"/>
    </font>
    <font>
      <sz val="11"/>
      <color rgb="FF212121"/>
      <name val="Arial"/>
      <family val="2"/>
    </font>
    <font>
      <sz val="8"/>
      <name val="Calibri (Corps)"/>
    </font>
    <font>
      <sz val="9"/>
      <color theme="2"/>
      <name val="Calibri (Corps)"/>
    </font>
    <font>
      <sz val="11"/>
      <color theme="2"/>
      <name val="Calibri (Corps)"/>
    </font>
    <font>
      <sz val="9"/>
      <name val="Calibri"/>
      <family val="2"/>
      <scheme val="minor"/>
    </font>
    <font>
      <sz val="9"/>
      <color rgb="FF21252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C8182"/>
        <bgColor indexed="64"/>
      </patternFill>
    </fill>
    <fill>
      <patternFill patternType="solid">
        <fgColor rgb="FF0ACABF"/>
        <bgColor indexed="64"/>
      </patternFill>
    </fill>
    <fill>
      <patternFill patternType="solid">
        <fgColor rgb="FFA0FDCA"/>
        <bgColor indexed="64"/>
      </patternFill>
    </fill>
    <fill>
      <patternFill patternType="solid">
        <fgColor rgb="FFFF5E3E"/>
        <bgColor indexed="64"/>
      </patternFill>
    </fill>
    <fill>
      <patternFill patternType="solid">
        <fgColor rgb="FF38ADB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rgb="FF236767"/>
      </left>
      <right style="thin">
        <color rgb="FF236767"/>
      </right>
      <top style="thin">
        <color rgb="FF236767"/>
      </top>
      <bottom style="thin">
        <color rgb="FF236767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auto="1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0" fillId="12" borderId="15" applyNumberFormat="0" applyAlignment="0" applyProtection="0"/>
  </cellStyleXfs>
  <cellXfs count="186">
    <xf numFmtId="0" fontId="0" fillId="0" borderId="0" xfId="0"/>
    <xf numFmtId="0" fontId="0" fillId="2" borderId="0" xfId="0" applyFill="1"/>
    <xf numFmtId="0" fontId="0" fillId="3" borderId="1" xfId="0" applyFill="1" applyBorder="1"/>
    <xf numFmtId="0" fontId="23" fillId="3" borderId="0" xfId="0" applyFont="1" applyFill="1"/>
    <xf numFmtId="0" fontId="0" fillId="3" borderId="0" xfId="0" applyFill="1"/>
    <xf numFmtId="0" fontId="0" fillId="3" borderId="2" xfId="0" applyFill="1" applyBorder="1"/>
    <xf numFmtId="0" fontId="28" fillId="4" borderId="0" xfId="0" applyFont="1" applyFill="1" applyAlignment="1">
      <alignment horizontal="center" vertical="center" wrapText="1"/>
    </xf>
    <xf numFmtId="0" fontId="28" fillId="4" borderId="0" xfId="0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8" fontId="32" fillId="8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4" fontId="21" fillId="0" borderId="0" xfId="0" applyNumberFormat="1" applyFont="1" applyAlignment="1">
      <alignment horizontal="center" vertical="center"/>
    </xf>
    <xf numFmtId="1" fontId="31" fillId="0" borderId="6" xfId="0" applyNumberFormat="1" applyFont="1" applyBorder="1" applyAlignment="1">
      <alignment horizontal="center" vertical="center"/>
    </xf>
    <xf numFmtId="1" fontId="24" fillId="0" borderId="6" xfId="0" applyNumberFormat="1" applyFont="1" applyBorder="1" applyAlignment="1">
      <alignment horizontal="center" vertical="center"/>
    </xf>
    <xf numFmtId="165" fontId="21" fillId="0" borderId="8" xfId="0" applyNumberFormat="1" applyFont="1" applyBorder="1" applyAlignment="1">
      <alignment horizontal="center" vertical="center"/>
    </xf>
    <xf numFmtId="165" fontId="31" fillId="0" borderId="0" xfId="0" applyNumberFormat="1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4" fontId="31" fillId="0" borderId="0" xfId="0" applyNumberFormat="1" applyFont="1" applyAlignment="1">
      <alignment horizontal="center" vertical="center"/>
    </xf>
    <xf numFmtId="164" fontId="31" fillId="0" borderId="9" xfId="0" applyNumberFormat="1" applyFont="1" applyBorder="1" applyAlignment="1">
      <alignment horizontal="center" vertical="center"/>
    </xf>
    <xf numFmtId="164" fontId="21" fillId="0" borderId="9" xfId="0" applyNumberFormat="1" applyFont="1" applyBorder="1" applyAlignment="1">
      <alignment horizontal="center" vertical="center"/>
    </xf>
    <xf numFmtId="1" fontId="31" fillId="0" borderId="11" xfId="0" applyNumberFormat="1" applyFont="1" applyBorder="1" applyAlignment="1">
      <alignment horizontal="center" vertical="center"/>
    </xf>
    <xf numFmtId="0" fontId="29" fillId="5" borderId="14" xfId="0" applyFont="1" applyFill="1" applyBorder="1" applyAlignment="1">
      <alignment horizontal="center" vertical="center" wrapText="1"/>
    </xf>
    <xf numFmtId="0" fontId="29" fillId="5" borderId="14" xfId="0" applyFont="1" applyFill="1" applyBorder="1" applyAlignment="1">
      <alignment horizontal="center" vertical="center"/>
    </xf>
    <xf numFmtId="0" fontId="30" fillId="6" borderId="14" xfId="0" applyFont="1" applyFill="1" applyBorder="1" applyAlignment="1">
      <alignment horizontal="center" vertical="center" wrapText="1"/>
    </xf>
    <xf numFmtId="1" fontId="31" fillId="0" borderId="6" xfId="0" applyNumberFormat="1" applyFont="1" applyBorder="1" applyAlignment="1">
      <alignment horizontal="left" vertical="center"/>
    </xf>
    <xf numFmtId="1" fontId="31" fillId="0" borderId="7" xfId="0" applyNumberFormat="1" applyFont="1" applyBorder="1" applyAlignment="1">
      <alignment horizontal="center" vertical="center"/>
    </xf>
    <xf numFmtId="166" fontId="31" fillId="0" borderId="8" xfId="0" applyNumberFormat="1" applyFont="1" applyBorder="1" applyAlignment="1">
      <alignment horizontal="center" vertical="center"/>
    </xf>
    <xf numFmtId="1" fontId="31" fillId="0" borderId="0" xfId="0" applyNumberFormat="1" applyFont="1" applyAlignment="1">
      <alignment horizontal="left" vertical="center"/>
    </xf>
    <xf numFmtId="1" fontId="31" fillId="0" borderId="9" xfId="0" applyNumberFormat="1" applyFont="1" applyBorder="1" applyAlignment="1">
      <alignment horizontal="center" vertical="center"/>
    </xf>
    <xf numFmtId="166" fontId="31" fillId="0" borderId="10" xfId="0" applyNumberFormat="1" applyFont="1" applyBorder="1" applyAlignment="1">
      <alignment horizontal="center" vertical="center"/>
    </xf>
    <xf numFmtId="1" fontId="31" fillId="0" borderId="11" xfId="0" applyNumberFormat="1" applyFont="1" applyBorder="1" applyAlignment="1">
      <alignment horizontal="left" vertical="center"/>
    </xf>
    <xf numFmtId="1" fontId="31" fillId="0" borderId="12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164" fontId="20" fillId="0" borderId="9" xfId="0" applyNumberFormat="1" applyFont="1" applyBorder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65" fontId="19" fillId="0" borderId="8" xfId="0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164" fontId="19" fillId="0" borderId="9" xfId="0" applyNumberFormat="1" applyFont="1" applyBorder="1" applyAlignment="1">
      <alignment horizontal="center" vertical="center"/>
    </xf>
    <xf numFmtId="1" fontId="21" fillId="0" borderId="6" xfId="0" applyNumberFormat="1" applyFont="1" applyBorder="1" applyAlignment="1">
      <alignment horizontal="center" vertical="center"/>
    </xf>
    <xf numFmtId="4" fontId="21" fillId="0" borderId="6" xfId="0" applyNumberFormat="1" applyFont="1" applyBorder="1" applyAlignment="1">
      <alignment horizontal="center" vertical="center"/>
    </xf>
    <xf numFmtId="164" fontId="21" fillId="0" borderId="7" xfId="0" applyNumberFormat="1" applyFont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5" fontId="18" fillId="0" borderId="8" xfId="0" applyNumberFormat="1" applyFont="1" applyBorder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164" fontId="18" fillId="0" borderId="9" xfId="0" applyNumberFormat="1" applyFont="1" applyBorder="1" applyAlignment="1">
      <alignment horizontal="center" vertical="center"/>
    </xf>
    <xf numFmtId="165" fontId="17" fillId="0" borderId="8" xfId="0" applyNumberFormat="1" applyFont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164" fontId="17" fillId="0" borderId="9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16" fillId="0" borderId="8" xfId="0" applyNumberFormat="1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164" fontId="16" fillId="0" borderId="9" xfId="0" applyNumberFormat="1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165" fontId="14" fillId="0" borderId="8" xfId="0" applyNumberFormat="1" applyFont="1" applyBorder="1" applyAlignment="1">
      <alignment horizontal="center" vertical="center"/>
    </xf>
    <xf numFmtId="165" fontId="13" fillId="0" borderId="8" xfId="0" applyNumberFormat="1" applyFont="1" applyBorder="1" applyAlignment="1">
      <alignment horizontal="center" vertical="center"/>
    </xf>
    <xf numFmtId="166" fontId="13" fillId="0" borderId="5" xfId="0" applyNumberFormat="1" applyFont="1" applyBorder="1" applyAlignment="1">
      <alignment horizontal="center" vertical="center"/>
    </xf>
    <xf numFmtId="165" fontId="33" fillId="0" borderId="0" xfId="0" applyNumberFormat="1" applyFont="1" applyAlignment="1">
      <alignment horizontal="center" vertical="center"/>
    </xf>
    <xf numFmtId="165" fontId="12" fillId="0" borderId="6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12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left" vertical="center"/>
    </xf>
    <xf numFmtId="1" fontId="11" fillId="0" borderId="0" xfId="0" applyNumberFormat="1" applyFont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/>
    </xf>
    <xf numFmtId="1" fontId="10" fillId="0" borderId="0" xfId="0" applyNumberFormat="1" applyFont="1" applyAlignment="1">
      <alignment horizontal="left" vertical="center"/>
    </xf>
    <xf numFmtId="1" fontId="10" fillId="0" borderId="0" xfId="0" applyNumberFormat="1" applyFont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6" fontId="9" fillId="0" borderId="8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165" fontId="17" fillId="2" borderId="8" xfId="0" applyNumberFormat="1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5" fontId="14" fillId="2" borderId="8" xfId="0" applyNumberFormat="1" applyFont="1" applyFill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65" fontId="1" fillId="3" borderId="8" xfId="0" applyNumberFormat="1" applyFont="1" applyFill="1" applyBorder="1" applyAlignment="1">
      <alignment horizontal="center" vertical="center"/>
    </xf>
    <xf numFmtId="165" fontId="1" fillId="2" borderId="8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5" fontId="1" fillId="9" borderId="8" xfId="0" applyNumberFormat="1" applyFont="1" applyFill="1" applyBorder="1" applyAlignment="1">
      <alignment horizontal="center" vertical="center"/>
    </xf>
    <xf numFmtId="165" fontId="1" fillId="10" borderId="8" xfId="0" applyNumberFormat="1" applyFont="1" applyFill="1" applyBorder="1" applyAlignment="1">
      <alignment horizontal="center" vertical="center"/>
    </xf>
    <xf numFmtId="165" fontId="1" fillId="0" borderId="8" xfId="0" quotePrefix="1" applyNumberFormat="1" applyFont="1" applyBorder="1" applyAlignment="1">
      <alignment horizontal="center" vertical="center"/>
    </xf>
    <xf numFmtId="165" fontId="34" fillId="3" borderId="8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8" fontId="40" fillId="4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41" fillId="0" borderId="0" xfId="0" applyNumberFormat="1" applyFont="1" applyAlignment="1">
      <alignment horizontal="center" vertical="center"/>
    </xf>
    <xf numFmtId="165" fontId="42" fillId="0" borderId="0" xfId="0" applyNumberFormat="1" applyFont="1" applyAlignment="1">
      <alignment horizontal="center" vertical="center"/>
    </xf>
    <xf numFmtId="165" fontId="43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46" fillId="0" borderId="0" xfId="0" applyFont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1" fontId="38" fillId="0" borderId="4" xfId="0" applyNumberFormat="1" applyFont="1" applyBorder="1" applyAlignment="1">
      <alignment horizontal="center" vertical="center"/>
    </xf>
    <xf numFmtId="1" fontId="38" fillId="0" borderId="13" xfId="0" applyNumberFormat="1" applyFont="1" applyBorder="1" applyAlignment="1">
      <alignment horizontal="center" vertical="center"/>
    </xf>
    <xf numFmtId="0" fontId="22" fillId="11" borderId="0" xfId="0" applyFont="1" applyFill="1" applyAlignment="1">
      <alignment horizontal="left"/>
    </xf>
    <xf numFmtId="0" fontId="23" fillId="11" borderId="0" xfId="0" applyFont="1" applyFill="1"/>
    <xf numFmtId="0" fontId="0" fillId="11" borderId="0" xfId="0" applyFill="1" applyAlignment="1">
      <alignment horizontal="center" vertical="center"/>
    </xf>
    <xf numFmtId="0" fontId="38" fillId="11" borderId="0" xfId="0" applyFont="1" applyFill="1" applyAlignment="1">
      <alignment horizontal="center" vertical="center"/>
    </xf>
    <xf numFmtId="0" fontId="24" fillId="11" borderId="3" xfId="0" applyFont="1" applyFill="1" applyBorder="1" applyAlignment="1">
      <alignment horizontal="center" vertical="center" wrapText="1"/>
    </xf>
    <xf numFmtId="164" fontId="25" fillId="11" borderId="3" xfId="0" applyNumberFormat="1" applyFont="1" applyFill="1" applyBorder="1" applyAlignment="1">
      <alignment horizontal="center" vertical="center"/>
    </xf>
    <xf numFmtId="0" fontId="0" fillId="11" borderId="0" xfId="0" applyFill="1"/>
    <xf numFmtId="0" fontId="0" fillId="11" borderId="2" xfId="0" applyFill="1" applyBorder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165" fontId="19" fillId="2" borderId="8" xfId="0" applyNumberFormat="1" applyFont="1" applyFill="1" applyBorder="1" applyAlignment="1">
      <alignment horizontal="center" vertical="center"/>
    </xf>
    <xf numFmtId="165" fontId="1" fillId="9" borderId="5" xfId="0" applyNumberFormat="1" applyFont="1" applyFill="1" applyBorder="1" applyAlignment="1">
      <alignment horizontal="center" vertical="center"/>
    </xf>
    <xf numFmtId="0" fontId="48" fillId="4" borderId="0" xfId="0" applyFont="1" applyFill="1" applyAlignment="1">
      <alignment horizontal="center" vertical="center"/>
    </xf>
    <xf numFmtId="165" fontId="1" fillId="11" borderId="8" xfId="0" applyNumberFormat="1" applyFont="1" applyFill="1" applyBorder="1" applyAlignment="1">
      <alignment horizontal="center" vertical="center"/>
    </xf>
    <xf numFmtId="165" fontId="19" fillId="9" borderId="8" xfId="0" applyNumberFormat="1" applyFont="1" applyFill="1" applyBorder="1" applyAlignment="1">
      <alignment horizontal="center" vertical="center"/>
    </xf>
    <xf numFmtId="165" fontId="6" fillId="9" borderId="8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/>
    </xf>
    <xf numFmtId="165" fontId="13" fillId="9" borderId="8" xfId="0" applyNumberFormat="1" applyFont="1" applyFill="1" applyBorder="1" applyAlignment="1">
      <alignment horizontal="center" vertical="center"/>
    </xf>
    <xf numFmtId="165" fontId="5" fillId="2" borderId="8" xfId="0" applyNumberFormat="1" applyFont="1" applyFill="1" applyBorder="1" applyAlignment="1">
      <alignment horizontal="center" vertical="center"/>
    </xf>
    <xf numFmtId="165" fontId="17" fillId="9" borderId="8" xfId="0" applyNumberFormat="1" applyFont="1" applyFill="1" applyBorder="1" applyAlignment="1">
      <alignment horizontal="center" vertical="center"/>
    </xf>
    <xf numFmtId="165" fontId="16" fillId="2" borderId="8" xfId="0" applyNumberFormat="1" applyFont="1" applyFill="1" applyBorder="1" applyAlignment="1">
      <alignment horizontal="center" vertical="center"/>
    </xf>
    <xf numFmtId="165" fontId="14" fillId="9" borderId="8" xfId="0" applyNumberFormat="1" applyFont="1" applyFill="1" applyBorder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6" fillId="2" borderId="8" xfId="0" applyNumberFormat="1" applyFon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165" fontId="0" fillId="0" borderId="14" xfId="0" applyNumberFormat="1" applyBorder="1" applyAlignment="1">
      <alignment horizontal="center" vertical="center"/>
    </xf>
    <xf numFmtId="1" fontId="38" fillId="0" borderId="14" xfId="0" applyNumberFormat="1" applyFont="1" applyBorder="1" applyAlignment="1">
      <alignment horizontal="center" vertical="center"/>
    </xf>
    <xf numFmtId="165" fontId="41" fillId="12" borderId="15" xfId="1" applyNumberFormat="1" applyFont="1" applyAlignment="1">
      <alignment horizontal="center" vertical="center"/>
    </xf>
    <xf numFmtId="165" fontId="1" fillId="13" borderId="8" xfId="0" applyNumberFormat="1" applyFont="1" applyFill="1" applyBorder="1" applyAlignment="1">
      <alignment horizontal="center" vertical="center"/>
    </xf>
    <xf numFmtId="165" fontId="0" fillId="13" borderId="4" xfId="0" applyNumberFormat="1" applyFill="1" applyBorder="1" applyAlignment="1">
      <alignment horizontal="center" vertical="center"/>
    </xf>
    <xf numFmtId="1" fontId="38" fillId="13" borderId="4" xfId="0" applyNumberFormat="1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52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52" fillId="0" borderId="0" xfId="0" applyFont="1" applyAlignment="1">
      <alignment vertical="center" wrapText="1"/>
    </xf>
    <xf numFmtId="0" fontId="43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5" fontId="1" fillId="14" borderId="8" xfId="0" applyNumberFormat="1" applyFont="1" applyFill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2" fillId="8" borderId="0" xfId="0" applyFont="1" applyFill="1" applyAlignment="1">
      <alignment horizontal="center" vertical="center"/>
    </xf>
  </cellXfs>
  <cellStyles count="2">
    <cellStyle name="Calcul" xfId="1" builtinId="22"/>
    <cellStyle name="Normal" xfId="0" builtinId="0"/>
  </cellStyles>
  <dxfs count="17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dd/mm/yy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000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000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 tint="4.9989318521683403E-2"/>
        <name val="Calibri"/>
        <family val="2"/>
        <scheme val="minor"/>
      </font>
      <fill>
        <patternFill patternType="solid">
          <fgColor indexed="64"/>
          <bgColor rgb="FF38ADB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77</xdr:row>
      <xdr:rowOff>38101</xdr:rowOff>
    </xdr:from>
    <xdr:to>
      <xdr:col>6</xdr:col>
      <xdr:colOff>0</xdr:colOff>
      <xdr:row>90</xdr:row>
      <xdr:rowOff>68581</xdr:rowOff>
    </xdr:to>
    <xdr:sp macro="" textlink="">
      <xdr:nvSpPr>
        <xdr:cNvPr id="12" name="Rectangle 11" hidden="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/>
        </xdr:cNvSpPr>
      </xdr:nvSpPr>
      <xdr:spPr>
        <a:xfrm>
          <a:off x="30480" y="3284221"/>
          <a:ext cx="5410200" cy="2042160"/>
        </a:xfrm>
        <a:prstGeom prst="rect">
          <a:avLst/>
        </a:prstGeom>
        <a:solidFill>
          <a:srgbClr val="3DC63D"/>
        </a:solidFill>
        <a:ln>
          <a:noFill/>
        </a:ln>
        <a:effectLst>
          <a:outerShdw blurRad="63500" sx="102000" sy="102000" algn="ctr" rotWithShape="0">
            <a:prstClr val="black">
              <a:alpha val="4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R="0" lvl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lvl="0">
            <a:defRPr/>
          </a:pPr>
          <a:r>
            <a:rPr kumimoji="0" lang="fr-FR" sz="18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 </a:t>
          </a:r>
          <a:r>
            <a:rPr kumimoji="0" lang="fr-FR" sz="2400" b="1" i="0" u="none" strike="noStrike" kern="1200" cap="none" spc="0" normalizeH="0" baseline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-&gt; En</a:t>
          </a:r>
          <a:r>
            <a:rPr kumimoji="0" lang="fr-FR" sz="2400" b="1" i="0" u="none" strike="noStrike" kern="1200" cap="none" spc="0" normalizeH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lang="fr-FR" sz="2400" b="1"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date du 30/01 il est sorti du stock :</a:t>
          </a:r>
          <a:br>
            <a:rPr lang="fr-FR" sz="2400" b="1"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</a:br>
          <a:r>
            <a:rPr lang="fr-FR" sz="2400" b="1"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                 </a:t>
          </a:r>
          <a:r>
            <a:rPr kumimoji="0" lang="fr-FR" sz="24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3 articles</a:t>
          </a:r>
          <a: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du produit B</a:t>
          </a:r>
          <a:b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</a:br>
          <a: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               4 articles du produit A</a:t>
          </a:r>
          <a:b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</a:br>
          <a: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</a:t>
          </a:r>
          <a:r>
            <a:rPr lang="fr-FR" sz="2400" b="1"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</a:rPr>
            <a:t>-&gt; et </a:t>
          </a:r>
          <a:r>
            <a:rPr kumimoji="0" lang="fr-FR" sz="2400" b="1" i="0" u="none" strike="noStrike" kern="1200" cap="none" spc="0" normalizeH="0" baseline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en date du 31/01</a:t>
          </a:r>
        </a:p>
        <a:p>
          <a:pPr lvl="0">
            <a:defRPr/>
          </a:pPr>
          <a:r>
            <a:rPr lang="fr-FR" sz="2400" b="1"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                 2 articles du produit A</a:t>
          </a:r>
          <a:endParaRPr kumimoji="0" lang="fr-FR" sz="24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30480</xdr:colOff>
      <xdr:row>77</xdr:row>
      <xdr:rowOff>38101</xdr:rowOff>
    </xdr:from>
    <xdr:to>
      <xdr:col>6</xdr:col>
      <xdr:colOff>0</xdr:colOff>
      <xdr:row>90</xdr:row>
      <xdr:rowOff>68581</xdr:rowOff>
    </xdr:to>
    <xdr:sp macro="" textlink="">
      <xdr:nvSpPr>
        <xdr:cNvPr id="13" name="Rectangle 12" hidden="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/>
        </xdr:cNvSpPr>
      </xdr:nvSpPr>
      <xdr:spPr>
        <a:xfrm>
          <a:off x="30480" y="3284221"/>
          <a:ext cx="5410200" cy="2042160"/>
        </a:xfrm>
        <a:prstGeom prst="rect">
          <a:avLst/>
        </a:prstGeom>
        <a:solidFill>
          <a:srgbClr val="3DC63D"/>
        </a:solidFill>
        <a:ln>
          <a:noFill/>
        </a:ln>
        <a:effectLst>
          <a:outerShdw blurRad="63500" sx="102000" sy="102000" algn="ctr" rotWithShape="0">
            <a:prstClr val="black">
              <a:alpha val="4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R="0" lvl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18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 </a:t>
          </a:r>
          <a:r>
            <a:rPr kumimoji="0" lang="fr-FR" sz="2400" b="1" i="0" u="none" strike="noStrike" kern="1200" cap="none" spc="0" normalizeH="0" baseline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-&gt; En</a:t>
          </a:r>
          <a:r>
            <a:rPr kumimoji="0" lang="fr-FR" sz="2400" b="1" i="0" u="none" strike="noStrike" kern="1200" cap="none" spc="0" normalizeH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lang="fr-FR" sz="2400" b="1"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date du 31/01 </a:t>
          </a:r>
          <a:r>
            <a:rPr lang="fr-FR" sz="2200" b="1"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il est entré en stock :</a:t>
          </a:r>
          <a:br>
            <a:rPr lang="fr-FR" sz="2400" b="1"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</a:br>
          <a:r>
            <a:rPr lang="fr-FR" sz="2400" b="1"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                 </a:t>
          </a:r>
          <a:r>
            <a:rPr kumimoji="0" lang="fr-FR" sz="24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12 articles</a:t>
          </a:r>
          <a: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du produit A</a:t>
          </a:r>
          <a:b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</a:br>
          <a: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               10 articles du produit B</a:t>
          </a:r>
          <a:b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</a:br>
          <a: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                 5 articles du produit G</a:t>
          </a:r>
          <a:b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</a:br>
          <a: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               10</a:t>
          </a:r>
          <a:r>
            <a:rPr kumimoji="0" lang="fr-FR" sz="24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articles </a:t>
          </a:r>
          <a:r>
            <a:rPr kumimoji="0" lang="fr-FR" sz="24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du produit I</a:t>
          </a:r>
          <a:endParaRPr kumimoji="0" lang="fr-FR" sz="2400" b="1" i="0" u="none" strike="noStrike" kern="1200" cap="none" spc="0" normalizeH="0" baseline="0" noProof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  <a:p>
          <a:pPr lvl="0">
            <a:defRPr/>
          </a:pPr>
          <a: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</a:t>
          </a:r>
          <a:r>
            <a:rPr lang="fr-FR" sz="2400" b="1"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                                  </a:t>
          </a: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30480</xdr:colOff>
      <xdr:row>77</xdr:row>
      <xdr:rowOff>45720</xdr:rowOff>
    </xdr:from>
    <xdr:to>
      <xdr:col>6</xdr:col>
      <xdr:colOff>0</xdr:colOff>
      <xdr:row>90</xdr:row>
      <xdr:rowOff>76200</xdr:rowOff>
    </xdr:to>
    <xdr:sp macro="" textlink="">
      <xdr:nvSpPr>
        <xdr:cNvPr id="14" name="Rectangle 13" hidden="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/>
        </xdr:cNvSpPr>
      </xdr:nvSpPr>
      <xdr:spPr>
        <a:xfrm>
          <a:off x="30480" y="3291840"/>
          <a:ext cx="5410200" cy="2042160"/>
        </a:xfrm>
        <a:prstGeom prst="rect">
          <a:avLst/>
        </a:prstGeom>
        <a:solidFill>
          <a:srgbClr val="3DC63D"/>
        </a:solidFill>
        <a:ln>
          <a:noFill/>
        </a:ln>
        <a:effectLst>
          <a:outerShdw blurRad="63500" sx="102000" sy="102000" algn="ctr" rotWithShape="0">
            <a:prstClr val="black">
              <a:alpha val="4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R="0" lvl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18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</a:t>
          </a:r>
          <a:r>
            <a:rPr kumimoji="0" lang="fr-FR" sz="2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fr-FR" sz="2200" b="1" i="0" u="none" strike="noStrike" kern="1200" cap="none" spc="0" normalizeH="0" baseline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-&gt; Quelle valeur indique que le final est </a:t>
          </a:r>
          <a:r>
            <a:rPr lang="fr-FR" sz="2200" b="1"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:</a:t>
          </a:r>
          <a:br>
            <a:rPr lang="fr-FR" sz="2400" b="1"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</a:br>
          <a:r>
            <a:rPr lang="fr-FR" sz="2400" b="1"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         </a:t>
          </a:r>
          <a:r>
            <a:rPr lang="fr-FR" sz="2400" b="1"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&gt; au stock mini</a:t>
          </a:r>
          <a:b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</a:br>
          <a: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&lt; ou = au stock mini</a:t>
          </a:r>
          <a:endParaRPr lang="fr-FR" sz="2400" b="1">
            <a:solidFill>
              <a:prstClr val="white"/>
            </a:solidFill>
            <a:effectLst>
              <a:outerShdw blurRad="63500" algn="ctr" rotWithShape="0">
                <a:prstClr val="black">
                  <a:alpha val="40000"/>
                </a:prstClr>
              </a:outerShdw>
            </a:effectLst>
            <a:latin typeface="Calibri" panose="020F0502020204030204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&lt; ou = à 0  </a:t>
          </a:r>
          <a:r>
            <a:rPr lang="fr-FR" sz="2400" b="1"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                                  </a:t>
          </a: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38100</xdr:colOff>
      <xdr:row>77</xdr:row>
      <xdr:rowOff>30480</xdr:rowOff>
    </xdr:from>
    <xdr:to>
      <xdr:col>6</xdr:col>
      <xdr:colOff>0</xdr:colOff>
      <xdr:row>90</xdr:row>
      <xdr:rowOff>60960</xdr:rowOff>
    </xdr:to>
    <xdr:sp macro="" textlink="">
      <xdr:nvSpPr>
        <xdr:cNvPr id="15" name="Rectangle 14" hidden="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/>
        </xdr:cNvSpPr>
      </xdr:nvSpPr>
      <xdr:spPr>
        <a:xfrm>
          <a:off x="38100" y="3276600"/>
          <a:ext cx="5410200" cy="2042160"/>
        </a:xfrm>
        <a:prstGeom prst="rect">
          <a:avLst/>
        </a:prstGeom>
        <a:solidFill>
          <a:srgbClr val="3DC63D"/>
        </a:solidFill>
        <a:ln>
          <a:noFill/>
        </a:ln>
        <a:effectLst>
          <a:outerShdw blurRad="63500" sx="102000" sy="102000" algn="ctr" rotWithShape="0">
            <a:prstClr val="black">
              <a:alpha val="4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R="0" lvl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18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</a:t>
          </a:r>
          <a:r>
            <a:rPr kumimoji="0" lang="fr-FR" sz="2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fr-FR" sz="2200" b="1" i="0" u="none" strike="noStrike" kern="1200" cap="none" spc="0" normalizeH="0" baseline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-&gt; Quelle valeur indique que le final est </a:t>
          </a:r>
          <a:r>
            <a:rPr lang="fr-FR" sz="2200" b="1"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:</a:t>
          </a:r>
          <a:br>
            <a:rPr lang="fr-FR" sz="2400" b="1"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</a:br>
          <a:r>
            <a:rPr lang="fr-FR" sz="2400" b="1"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         </a:t>
          </a:r>
          <a:r>
            <a:rPr lang="fr-FR" sz="2400" b="1"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&gt; au stock mini</a:t>
          </a:r>
          <a:b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</a:br>
          <a: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&lt; ou = au stock mini</a:t>
          </a:r>
          <a:endParaRPr lang="fr-FR" sz="2400" b="1">
            <a:solidFill>
              <a:prstClr val="white"/>
            </a:solidFill>
            <a:effectLst>
              <a:outerShdw blurRad="63500" algn="ctr" rotWithShape="0">
                <a:prstClr val="black">
                  <a:alpha val="40000"/>
                </a:prstClr>
              </a:outerShdw>
            </a:effectLst>
            <a:latin typeface="Calibri" panose="020F0502020204030204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&lt; ou = à 0  </a:t>
          </a:r>
          <a:r>
            <a:rPr lang="fr-FR" sz="2400" b="1"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                                  </a:t>
          </a: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373380</xdr:colOff>
      <xdr:row>67</xdr:row>
      <xdr:rowOff>112058</xdr:rowOff>
    </xdr:from>
    <xdr:to>
      <xdr:col>5</xdr:col>
      <xdr:colOff>731969</xdr:colOff>
      <xdr:row>67</xdr:row>
      <xdr:rowOff>112058</xdr:rowOff>
    </xdr:to>
    <xdr:cxnSp macro="">
      <xdr:nvCxnSpPr>
        <xdr:cNvPr id="17" name="Connecteur droit 16" hidden="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cxnSpLocks/>
        </xdr:cNvCxnSpPr>
      </xdr:nvCxnSpPr>
      <xdr:spPr>
        <a:xfrm>
          <a:off x="2743200" y="4638338"/>
          <a:ext cx="1768289" cy="0"/>
        </a:xfrm>
        <a:prstGeom prst="line">
          <a:avLst/>
        </a:prstGeom>
        <a:ln w="28575">
          <a:solidFill>
            <a:schemeClr val="bg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625769</xdr:colOff>
      <xdr:row>72</xdr:row>
      <xdr:rowOff>86956</xdr:rowOff>
    </xdr:from>
    <xdr:to>
      <xdr:col>5</xdr:col>
      <xdr:colOff>731969</xdr:colOff>
      <xdr:row>72</xdr:row>
      <xdr:rowOff>86956</xdr:rowOff>
    </xdr:to>
    <xdr:cxnSp macro="">
      <xdr:nvCxnSpPr>
        <xdr:cNvPr id="18" name="Connecteur droit 17" hidden="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>
          <a:cxnSpLocks/>
        </xdr:cNvCxnSpPr>
      </xdr:nvCxnSpPr>
      <xdr:spPr>
        <a:xfrm>
          <a:off x="1433489" y="4978996"/>
          <a:ext cx="3078000" cy="0"/>
        </a:xfrm>
        <a:prstGeom prst="line">
          <a:avLst/>
        </a:prstGeom>
        <a:ln w="28575">
          <a:solidFill>
            <a:schemeClr val="bg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</xdr:colOff>
      <xdr:row>77</xdr:row>
      <xdr:rowOff>38101</xdr:rowOff>
    </xdr:from>
    <xdr:to>
      <xdr:col>6</xdr:col>
      <xdr:colOff>0</xdr:colOff>
      <xdr:row>90</xdr:row>
      <xdr:rowOff>68581</xdr:rowOff>
    </xdr:to>
    <xdr:sp macro="" textlink="">
      <xdr:nvSpPr>
        <xdr:cNvPr id="22" name="Rectangle 21" hidden="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/>
        </xdr:cNvSpPr>
      </xdr:nvSpPr>
      <xdr:spPr>
        <a:xfrm>
          <a:off x="30480" y="3284221"/>
          <a:ext cx="5410200" cy="2042160"/>
        </a:xfrm>
        <a:prstGeom prst="rect">
          <a:avLst/>
        </a:prstGeom>
        <a:solidFill>
          <a:srgbClr val="3DC63D"/>
        </a:solidFill>
        <a:ln>
          <a:noFill/>
        </a:ln>
        <a:effectLst>
          <a:outerShdw blurRad="63500" sx="102000" sy="102000" algn="ctr" rotWithShape="0">
            <a:prstClr val="black">
              <a:alpha val="47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R="0" lvl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2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 </a:t>
          </a:r>
          <a:r>
            <a:rPr kumimoji="0" lang="fr-FR" sz="2200" b="1" i="0" u="none" strike="noStrike" kern="1200" cap="none" spc="0" normalizeH="0" baseline="0">
              <a:ln>
                <a:noFill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-&gt; au </a:t>
          </a:r>
          <a:r>
            <a:rPr lang="fr-FR" sz="2200" b="1"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1er février, sortir du stock :</a:t>
          </a:r>
          <a:br>
            <a:rPr lang="fr-FR" sz="2000" b="1">
              <a:solidFill>
                <a:schemeClr val="tx1">
                  <a:lumMod val="85000"/>
                  <a:lumOff val="15000"/>
                </a:schemeClr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</a:br>
          <a:r>
            <a:rPr lang="fr-FR" sz="2000" b="1"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                 </a:t>
          </a:r>
          <a:r>
            <a:rPr kumimoji="0" lang="fr-FR" sz="20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11 articles</a:t>
          </a:r>
          <a:r>
            <a:rPr kumimoji="0" lang="fr-FR" sz="20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du produit A</a:t>
          </a:r>
          <a:br>
            <a:rPr kumimoji="0" lang="fr-FR" sz="20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</a:br>
          <a:r>
            <a:rPr kumimoji="0" lang="fr-FR" sz="20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               </a:t>
          </a:r>
          <a:r>
            <a:rPr kumimoji="0" lang="fr-FR" sz="20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2</a:t>
          </a:r>
          <a:r>
            <a:rPr kumimoji="0" lang="fr-FR" sz="20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articles du produit D</a:t>
          </a:r>
          <a:br>
            <a:rPr kumimoji="0" lang="fr-FR" sz="20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</a:br>
          <a:r>
            <a:rPr kumimoji="0" lang="fr-FR" sz="20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               12 articles du produit G</a:t>
          </a:r>
          <a:br>
            <a:rPr kumimoji="0" lang="fr-FR" sz="20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</a:br>
          <a:r>
            <a:rPr kumimoji="0" lang="fr-FR" sz="20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               15</a:t>
          </a:r>
          <a:r>
            <a:rPr kumimoji="0" lang="fr-FR" sz="20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articles </a:t>
          </a:r>
          <a:r>
            <a:rPr kumimoji="0" lang="fr-FR" sz="2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du produit 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2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+mn-lt"/>
              <a:ea typeface="+mn-ea"/>
              <a:cs typeface="+mn-cs"/>
            </a:rPr>
            <a:t>                 10 articles du procuit C</a:t>
          </a:r>
          <a:endParaRPr kumimoji="0" lang="fr-FR" sz="2000" b="1" i="0" u="none" strike="noStrike" kern="1200" cap="none" spc="0" normalizeH="0" baseline="0" noProof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  <a:p>
          <a:pPr lvl="0">
            <a:defRPr/>
          </a:pPr>
          <a:r>
            <a:rPr kumimoji="0" lang="fr-FR" sz="24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  <a:ea typeface="+mn-ea"/>
              <a:cs typeface="+mn-cs"/>
            </a:rPr>
            <a:t>  </a:t>
          </a:r>
          <a:r>
            <a:rPr lang="fr-FR" sz="2400" b="1">
              <a:solidFill>
                <a:prstClr val="white"/>
              </a:solidFill>
              <a:effectLst>
                <a:outerShdw blurRad="63500" algn="ctr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                                  </a:t>
          </a: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L="285750" marR="0" lvl="0" indent="-2857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endParaRPr kumimoji="0" lang="fr-FR" sz="1800" b="1" i="0" u="none" strike="noStrike" kern="1200" cap="none" spc="0" normalizeH="0" baseline="0">
            <a:ln>
              <a:noFill/>
            </a:ln>
            <a:solidFill>
              <a:prstClr val="white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373380</xdr:colOff>
      <xdr:row>1936</xdr:row>
      <xdr:rowOff>112058</xdr:rowOff>
    </xdr:from>
    <xdr:to>
      <xdr:col>5</xdr:col>
      <xdr:colOff>731969</xdr:colOff>
      <xdr:row>1936</xdr:row>
      <xdr:rowOff>112058</xdr:rowOff>
    </xdr:to>
    <xdr:cxnSp macro="">
      <xdr:nvCxnSpPr>
        <xdr:cNvPr id="2" name="Connecteur droit 1" hidden="1">
          <a:extLst>
            <a:ext uri="{FF2B5EF4-FFF2-40B4-BE49-F238E27FC236}">
              <a16:creationId xmlns:a16="http://schemas.microsoft.com/office/drawing/2014/main" id="{FF8B9261-61DD-4800-A809-28A508979837}"/>
            </a:ext>
          </a:extLst>
        </xdr:cNvPr>
        <xdr:cNvCxnSpPr>
          <a:cxnSpLocks/>
        </xdr:cNvCxnSpPr>
      </xdr:nvCxnSpPr>
      <xdr:spPr>
        <a:xfrm>
          <a:off x="3621405" y="14790083"/>
          <a:ext cx="3244664" cy="0"/>
        </a:xfrm>
        <a:prstGeom prst="line">
          <a:avLst/>
        </a:prstGeom>
        <a:ln w="28575">
          <a:solidFill>
            <a:schemeClr val="bg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625769</xdr:colOff>
      <xdr:row>1954</xdr:row>
      <xdr:rowOff>86956</xdr:rowOff>
    </xdr:from>
    <xdr:to>
      <xdr:col>5</xdr:col>
      <xdr:colOff>731969</xdr:colOff>
      <xdr:row>1954</xdr:row>
      <xdr:rowOff>86956</xdr:rowOff>
    </xdr:to>
    <xdr:cxnSp macro="">
      <xdr:nvCxnSpPr>
        <xdr:cNvPr id="3" name="Connecteur droit 2" hidden="1">
          <a:extLst>
            <a:ext uri="{FF2B5EF4-FFF2-40B4-BE49-F238E27FC236}">
              <a16:creationId xmlns:a16="http://schemas.microsoft.com/office/drawing/2014/main" id="{B7BDA943-FE27-4A5E-8EF2-7723E8A5CAA3}"/>
            </a:ext>
          </a:extLst>
        </xdr:cNvPr>
        <xdr:cNvCxnSpPr>
          <a:cxnSpLocks/>
        </xdr:cNvCxnSpPr>
      </xdr:nvCxnSpPr>
      <xdr:spPr>
        <a:xfrm>
          <a:off x="2616494" y="15765106"/>
          <a:ext cx="4249575" cy="0"/>
        </a:xfrm>
        <a:prstGeom prst="line">
          <a:avLst/>
        </a:prstGeom>
        <a:ln w="28575">
          <a:solidFill>
            <a:schemeClr val="bg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625769</xdr:colOff>
      <xdr:row>1953</xdr:row>
      <xdr:rowOff>86956</xdr:rowOff>
    </xdr:from>
    <xdr:to>
      <xdr:col>5</xdr:col>
      <xdr:colOff>731969</xdr:colOff>
      <xdr:row>1953</xdr:row>
      <xdr:rowOff>86956</xdr:rowOff>
    </xdr:to>
    <xdr:cxnSp macro="">
      <xdr:nvCxnSpPr>
        <xdr:cNvPr id="4" name="Connecteur droit 3" hidden="1">
          <a:extLst>
            <a:ext uri="{FF2B5EF4-FFF2-40B4-BE49-F238E27FC236}">
              <a16:creationId xmlns:a16="http://schemas.microsoft.com/office/drawing/2014/main" id="{6C20B9C8-7CD0-4557-B2B7-0955BDD85337}"/>
            </a:ext>
          </a:extLst>
        </xdr:cNvPr>
        <xdr:cNvCxnSpPr>
          <a:cxnSpLocks/>
        </xdr:cNvCxnSpPr>
      </xdr:nvCxnSpPr>
      <xdr:spPr>
        <a:xfrm>
          <a:off x="2616494" y="15765106"/>
          <a:ext cx="4249575" cy="0"/>
        </a:xfrm>
        <a:prstGeom prst="line">
          <a:avLst/>
        </a:prstGeom>
        <a:ln w="28575">
          <a:solidFill>
            <a:schemeClr val="bg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8B1383-9795-418A-A80E-8BB2173B7ABF}" name="Tableau3" displayName="Tableau3" ref="A3:J2744" totalsRowShown="0" headerRowDxfId="16" dataDxfId="15">
  <autoFilter ref="A3:J2744" xr:uid="{A18B1383-9795-418A-A80E-8BB2173B7ABF}">
    <filterColumn colId="4">
      <filters blank="1">
        <filter val="voyant"/>
      </filters>
    </filterColumn>
  </autoFilter>
  <sortState xmlns:xlrd2="http://schemas.microsoft.com/office/spreadsheetml/2017/richdata2" ref="B8:I457">
    <sortCondition ref="B3:B457"/>
  </sortState>
  <tableColumns count="10">
    <tableColumn id="21" xr3:uid="{0E29AE6A-5634-4F11-93B3-36ABAC6ABA81}" name="Emplacement " dataDxfId="14"/>
    <tableColumn id="9" xr3:uid="{7F1BF280-C478-A042-AECC-BC42534F8E6F}" name="Fabriquant / marque" dataDxfId="13"/>
    <tableColumn id="1" xr3:uid="{40958DFA-EEC2-4C4B-9159-B3DF6EEAF8AA}" name="Référence " dataDxfId="12"/>
    <tableColumn id="2" xr3:uid="{B8A696C9-AF49-4C39-BEA6-58680544A110}" name="Désignation" dataDxfId="11"/>
    <tableColumn id="12" xr3:uid="{1F802A6B-78CB-284F-AB78-AFDF4FE3677F}" name="Finition/ couleur " dataDxfId="10"/>
    <tableColumn id="11" xr3:uid="{6D8B0398-648F-435C-91B7-3D17C778732B}" name="Stock_x000a_initial" dataDxfId="9"/>
    <tableColumn id="6" xr3:uid="{645C0C65-EE4E-481D-887C-B7F835E77DA4}" name="Stock final" dataDxfId="8"/>
    <tableColumn id="8" xr3:uid="{EE056C94-F20A-4E0D-BC3B-2EB0C6BF60E5}" name="P.U." dataDxfId="7"/>
    <tableColumn id="7" xr3:uid="{E58EEDB2-86A5-44CB-9D81-62109A3D72E0}" name="Valeur du Stock" dataDxfId="6">
      <calculatedColumnFormula>Tableau3[[#This Row],[Stock final]]*Tableau3[[#This Row],[P.U.]]</calculatedColumnFormula>
    </tableColumn>
    <tableColumn id="3" xr3:uid="{70F63BAE-6D30-45D1-9B9E-DBB3C116004B}" name="Colonne1" dataDxfId="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D09377-EA1E-498B-A294-F763ABBB4B6B}" name="Tableau2" displayName="Tableau2" ref="K3:O83" totalsRowShown="0">
  <autoFilter ref="K3:O83" xr:uid="{20D09377-EA1E-498B-A294-F763ABBB4B6B}"/>
  <tableColumns count="5">
    <tableColumn id="1" xr3:uid="{FC9351E7-F2FE-4CD7-B2BC-B2A8D84EC028}" name="Date" dataDxfId="4"/>
    <tableColumn id="2" xr3:uid="{EB69A41D-06F4-4D7D-89A7-55D1F221C765}" name="Référence_x000a_Article" dataDxfId="3"/>
    <tableColumn id="3" xr3:uid="{0E8C4490-FF61-4160-836A-C1429D8DCE46}" name="Désignation" dataDxfId="2">
      <calculatedColumnFormula>(_xlfn.XLOOKUP(Tableau2[[#This Row],[Référence
Article]],Tableau3[[Référence ]],Tableau3[Désignation]))</calculatedColumnFormula>
    </tableColumn>
    <tableColumn id="4" xr3:uid="{A2618EAC-AB70-45A0-97A0-F95D940625DF}" name="Entrée" dataDxfId="1"/>
    <tableColumn id="5" xr3:uid="{4B259007-1AA5-4D97-8AA0-1BFD88F364F2}" name="Sortie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9E3C-F902-4BB9-8371-2035F660FDDF}">
  <sheetPr codeName="Feuil1">
    <pageSetUpPr fitToPage="1"/>
  </sheetPr>
  <dimension ref="A1:P2744"/>
  <sheetViews>
    <sheetView tabSelected="1" view="pageLayout" topLeftCell="A1748" zoomScale="85" zoomScaleNormal="100" zoomScalePageLayoutView="85" workbookViewId="0">
      <selection activeCell="H1765" sqref="H1765"/>
    </sheetView>
  </sheetViews>
  <sheetFormatPr baseColWidth="10" defaultColWidth="11.42578125" defaultRowHeight="19.350000000000001" customHeight="1"/>
  <cols>
    <col min="1" max="1" width="4.42578125" style="11" customWidth="1"/>
    <col min="2" max="2" width="23.42578125" customWidth="1"/>
    <col min="3" max="3" width="27.28515625" style="11" bestFit="1" customWidth="1"/>
    <col min="4" max="4" width="59.140625" style="11" bestFit="1" customWidth="1"/>
    <col min="5" max="5" width="13" style="113" customWidth="1"/>
    <col min="6" max="6" width="10.7109375" style="11" customWidth="1"/>
    <col min="7" max="7" width="12.42578125" style="11" customWidth="1"/>
    <col min="8" max="8" width="11.28515625" style="11" customWidth="1"/>
    <col min="9" max="9" width="11.42578125" style="11"/>
    <col min="10" max="10" width="26" style="11" customWidth="1"/>
    <col min="11" max="11" width="16.28515625" style="1" customWidth="1"/>
    <col min="12" max="12" width="14" customWidth="1"/>
    <col min="13" max="13" width="12.28515625" customWidth="1"/>
    <col min="14" max="14" width="22.7109375" customWidth="1"/>
    <col min="15" max="15" width="17" customWidth="1"/>
    <col min="16" max="16" width="15.42578125" customWidth="1"/>
  </cols>
  <sheetData>
    <row r="1" spans="1:16" ht="38.450000000000003" customHeight="1">
      <c r="A1" s="130" t="s">
        <v>0</v>
      </c>
      <c r="B1" s="131"/>
      <c r="C1" s="132"/>
      <c r="D1" s="132"/>
      <c r="E1" s="133"/>
      <c r="F1" s="132"/>
      <c r="G1" s="132"/>
      <c r="H1" s="132"/>
      <c r="I1" s="134" t="s">
        <v>1</v>
      </c>
      <c r="J1" s="135">
        <f>SUM(Tableau3[Valeur du Stock])</f>
        <v>119704.29999999999</v>
      </c>
      <c r="K1" s="136"/>
      <c r="L1" s="2"/>
      <c r="M1" s="3" t="s">
        <v>2</v>
      </c>
      <c r="N1" s="4"/>
      <c r="O1" s="4"/>
      <c r="P1" s="5"/>
    </row>
    <row r="2" spans="1:16" ht="15">
      <c r="A2" s="132"/>
      <c r="B2" s="136"/>
      <c r="C2" s="132"/>
      <c r="D2" s="132"/>
      <c r="E2" s="133"/>
      <c r="F2" s="132"/>
      <c r="G2" s="132"/>
      <c r="H2" s="132"/>
      <c r="I2" s="132"/>
      <c r="J2" s="137"/>
      <c r="K2" s="136"/>
      <c r="L2" s="2"/>
      <c r="M2" s="4"/>
      <c r="N2" s="4"/>
      <c r="O2" s="4"/>
      <c r="P2" s="5"/>
    </row>
    <row r="3" spans="1:16" ht="37.5">
      <c r="A3" s="12" t="s">
        <v>67</v>
      </c>
      <c r="B3" s="12" t="s">
        <v>10</v>
      </c>
      <c r="C3" s="115" t="s">
        <v>120</v>
      </c>
      <c r="D3" s="7" t="s">
        <v>3</v>
      </c>
      <c r="E3" s="141" t="s">
        <v>123</v>
      </c>
      <c r="F3" s="6" t="s">
        <v>4</v>
      </c>
      <c r="G3" s="6" t="s">
        <v>130</v>
      </c>
      <c r="H3" s="7" t="s">
        <v>7</v>
      </c>
      <c r="I3" s="6" t="s">
        <v>8</v>
      </c>
      <c r="J3" s="185" t="s">
        <v>1480</v>
      </c>
      <c r="K3" s="8" t="s">
        <v>9</v>
      </c>
      <c r="L3" s="24" t="s">
        <v>12</v>
      </c>
      <c r="M3" s="25" t="s">
        <v>3</v>
      </c>
      <c r="N3" s="26" t="s">
        <v>5</v>
      </c>
      <c r="O3" s="9" t="s">
        <v>6</v>
      </c>
    </row>
    <row r="4" spans="1:16" ht="15.75">
      <c r="A4" s="110" t="s">
        <v>68</v>
      </c>
      <c r="B4" s="140" t="s">
        <v>121</v>
      </c>
      <c r="C4" s="116"/>
      <c r="D4" s="11" t="s">
        <v>122</v>
      </c>
      <c r="E4" s="127" t="s">
        <v>124</v>
      </c>
      <c r="F4" s="44"/>
      <c r="G4" s="16">
        <v>64</v>
      </c>
      <c r="H4" s="45">
        <v>3.14</v>
      </c>
      <c r="I4" s="46">
        <f>Tableau3[[#This Row],[Stock final]]*Tableau3[[#This Row],[P.U.]]</f>
        <v>200.96</v>
      </c>
      <c r="J4" s="183"/>
      <c r="K4" s="64"/>
      <c r="L4" s="66"/>
      <c r="M4" s="27"/>
      <c r="N4" s="15"/>
      <c r="O4" s="28">
        <v>0</v>
      </c>
    </row>
    <row r="5" spans="1:16" ht="15.75">
      <c r="A5" s="102" t="s">
        <v>68</v>
      </c>
      <c r="B5" s="102" t="s">
        <v>121</v>
      </c>
      <c r="C5" s="116"/>
      <c r="D5" s="11" t="s">
        <v>122</v>
      </c>
      <c r="E5" s="113" t="s">
        <v>14</v>
      </c>
      <c r="F5" s="13"/>
      <c r="G5" s="10">
        <v>10</v>
      </c>
      <c r="H5" s="14">
        <v>3.8</v>
      </c>
      <c r="I5" s="22">
        <f>Tableau3[[#This Row],[Stock final]]*Tableau3[[#This Row],[P.U.]]</f>
        <v>38</v>
      </c>
      <c r="J5" s="183"/>
      <c r="K5" s="29"/>
      <c r="L5" s="67"/>
      <c r="M5" s="30"/>
      <c r="N5" s="19"/>
      <c r="O5" s="31"/>
    </row>
    <row r="6" spans="1:16" ht="15.75">
      <c r="A6" s="102" t="s">
        <v>68</v>
      </c>
      <c r="B6" s="102" t="s">
        <v>121</v>
      </c>
      <c r="C6" s="116"/>
      <c r="D6" s="11" t="s">
        <v>125</v>
      </c>
      <c r="E6" s="113" t="s">
        <v>126</v>
      </c>
      <c r="F6" s="13"/>
      <c r="G6" s="10">
        <v>22</v>
      </c>
      <c r="H6" s="14">
        <v>3.68</v>
      </c>
      <c r="I6" s="22">
        <f>Tableau3[[#This Row],[Stock final]]*Tableau3[[#This Row],[P.U.]]</f>
        <v>80.960000000000008</v>
      </c>
      <c r="J6" s="183"/>
      <c r="K6" s="29"/>
      <c r="L6" s="67"/>
      <c r="M6" s="30"/>
      <c r="N6" s="19"/>
      <c r="O6" s="31"/>
    </row>
    <row r="7" spans="1:16" ht="15.75">
      <c r="A7" s="102" t="s">
        <v>68</v>
      </c>
      <c r="B7" s="102" t="s">
        <v>121</v>
      </c>
      <c r="C7" s="116"/>
      <c r="D7" s="11" t="s">
        <v>127</v>
      </c>
      <c r="E7" s="113" t="s">
        <v>128</v>
      </c>
      <c r="F7" s="13"/>
      <c r="G7" s="10">
        <v>5</v>
      </c>
      <c r="H7" s="14">
        <v>6.5</v>
      </c>
      <c r="I7" s="22">
        <f>Tableau3[[#This Row],[Stock final]]*Tableau3[[#This Row],[P.U.]]</f>
        <v>32.5</v>
      </c>
      <c r="J7" s="183"/>
      <c r="K7" s="98"/>
      <c r="L7" s="97"/>
      <c r="M7" s="99"/>
      <c r="N7" s="100"/>
      <c r="O7" s="101"/>
    </row>
    <row r="8" spans="1:16" ht="19.350000000000001" customHeight="1">
      <c r="A8" s="102" t="s">
        <v>68</v>
      </c>
      <c r="B8" s="102" t="s">
        <v>121</v>
      </c>
      <c r="C8" s="116"/>
      <c r="D8" s="11" t="s">
        <v>131</v>
      </c>
      <c r="F8" s="107"/>
      <c r="G8" s="10">
        <v>18</v>
      </c>
      <c r="H8" s="103">
        <v>1.21</v>
      </c>
      <c r="I8" s="108">
        <f>Tableau3[[#This Row],[Stock final]]*Tableau3[[#This Row],[P.U.]]</f>
        <v>21.78</v>
      </c>
      <c r="J8" s="183"/>
      <c r="K8" s="98"/>
      <c r="L8" s="97"/>
      <c r="M8" s="99"/>
      <c r="N8" s="100"/>
      <c r="O8" s="101"/>
    </row>
    <row r="9" spans="1:16" ht="19.350000000000001" customHeight="1">
      <c r="A9" s="105" t="s">
        <v>68</v>
      </c>
      <c r="B9" s="102" t="s">
        <v>129</v>
      </c>
      <c r="C9" s="116" t="s">
        <v>22</v>
      </c>
      <c r="D9" s="11" t="s">
        <v>25</v>
      </c>
      <c r="E9" s="113" t="s">
        <v>14</v>
      </c>
      <c r="F9" s="35"/>
      <c r="G9" s="10">
        <v>0</v>
      </c>
      <c r="H9" s="36">
        <v>32.72</v>
      </c>
      <c r="I9" s="37">
        <f>Tableau3[[#This Row],[Stock final]]*Tableau3[[#This Row],[P.U.]]</f>
        <v>0</v>
      </c>
      <c r="J9" s="183"/>
      <c r="K9" s="29"/>
      <c r="L9" s="67"/>
      <c r="M9" s="30"/>
      <c r="N9" s="19"/>
      <c r="O9" s="31"/>
    </row>
    <row r="10" spans="1:16" ht="19.350000000000001" customHeight="1">
      <c r="A10" s="102" t="s">
        <v>68</v>
      </c>
      <c r="B10" s="105" t="s">
        <v>129</v>
      </c>
      <c r="C10" s="116" t="s">
        <v>23</v>
      </c>
      <c r="D10" s="11" t="s">
        <v>24</v>
      </c>
      <c r="E10" s="113" t="s">
        <v>14</v>
      </c>
      <c r="F10" s="35"/>
      <c r="G10" s="10">
        <v>1</v>
      </c>
      <c r="H10" s="36">
        <v>62.29</v>
      </c>
      <c r="I10" s="37">
        <f>Tableau3[[#This Row],[Stock final]]*Tableau3[[#This Row],[P.U.]]</f>
        <v>62.29</v>
      </c>
      <c r="J10" s="183"/>
      <c r="K10" s="29"/>
      <c r="L10" s="67"/>
      <c r="M10" s="30"/>
      <c r="N10" s="19"/>
      <c r="O10" s="31"/>
    </row>
    <row r="11" spans="1:16" ht="19.350000000000001" customHeight="1">
      <c r="A11" s="102" t="s">
        <v>68</v>
      </c>
      <c r="B11" s="102" t="s">
        <v>129</v>
      </c>
      <c r="C11" s="116" t="s">
        <v>26</v>
      </c>
      <c r="D11" s="11" t="s">
        <v>27</v>
      </c>
      <c r="E11" s="113" t="s">
        <v>14</v>
      </c>
      <c r="F11" s="35"/>
      <c r="G11" s="10">
        <v>0</v>
      </c>
      <c r="H11" s="36">
        <v>25.37</v>
      </c>
      <c r="I11" s="37">
        <f>Tableau3[[#This Row],[Stock final]]*Tableau3[[#This Row],[P.U.]]</f>
        <v>0</v>
      </c>
      <c r="J11" s="183"/>
      <c r="K11" s="29"/>
      <c r="L11" s="67"/>
      <c r="M11" s="30"/>
      <c r="N11" s="19"/>
      <c r="O11" s="31"/>
    </row>
    <row r="12" spans="1:16" ht="19.350000000000001" customHeight="1">
      <c r="A12" s="102" t="s">
        <v>68</v>
      </c>
      <c r="B12" s="102" t="s">
        <v>129</v>
      </c>
      <c r="C12" s="116" t="s">
        <v>28</v>
      </c>
      <c r="D12" s="11" t="s">
        <v>29</v>
      </c>
      <c r="E12" s="113" t="s">
        <v>14</v>
      </c>
      <c r="F12" s="35"/>
      <c r="G12" s="10">
        <v>0</v>
      </c>
      <c r="H12" s="36">
        <v>55.87</v>
      </c>
      <c r="I12" s="37">
        <f>Tableau3[[#This Row],[Stock final]]*Tableau3[[#This Row],[P.U.]]</f>
        <v>0</v>
      </c>
      <c r="J12" s="183"/>
      <c r="K12" s="68"/>
      <c r="L12" s="68"/>
      <c r="M12" s="30"/>
      <c r="N12" s="19"/>
      <c r="O12" s="31"/>
    </row>
    <row r="13" spans="1:16" ht="19.350000000000001" customHeight="1">
      <c r="A13" s="102" t="s">
        <v>68</v>
      </c>
      <c r="B13" s="40"/>
      <c r="C13" s="116"/>
      <c r="F13" s="41"/>
      <c r="G13" s="10"/>
      <c r="H13" s="42"/>
      <c r="I13" s="43">
        <f>Tableau3[[#This Row],[Stock final]]*Tableau3[[#This Row],[P.U.]]</f>
        <v>0</v>
      </c>
      <c r="J13" s="183"/>
      <c r="K13" s="29"/>
      <c r="L13" s="67"/>
      <c r="M13" s="30"/>
      <c r="N13" s="19"/>
      <c r="O13" s="31"/>
    </row>
    <row r="14" spans="1:16" ht="19.350000000000001" customHeight="1">
      <c r="A14" s="102" t="s">
        <v>68</v>
      </c>
      <c r="B14" s="102"/>
      <c r="C14" s="116"/>
      <c r="F14" s="107"/>
      <c r="G14" s="10"/>
      <c r="H14" s="103"/>
      <c r="I14" s="108">
        <f>Tableau3[[#This Row],[Stock final]]*Tableau3[[#This Row],[P.U.]]</f>
        <v>0</v>
      </c>
      <c r="J14" s="183"/>
      <c r="K14" s="29"/>
      <c r="L14" s="67"/>
      <c r="M14" s="30"/>
      <c r="N14" s="19"/>
      <c r="O14" s="31"/>
    </row>
    <row r="15" spans="1:16" ht="19.350000000000001" customHeight="1">
      <c r="A15" s="102" t="s">
        <v>68</v>
      </c>
      <c r="B15" s="102"/>
      <c r="C15" s="116"/>
      <c r="F15" s="107"/>
      <c r="G15" s="10"/>
      <c r="H15" s="103"/>
      <c r="I15" s="108">
        <f>Tableau3[[#This Row],[Stock final]]*Tableau3[[#This Row],[P.U.]]</f>
        <v>0</v>
      </c>
      <c r="J15" s="183"/>
      <c r="K15" s="29"/>
      <c r="L15" s="67"/>
      <c r="M15" s="30"/>
      <c r="N15" s="19"/>
      <c r="O15" s="31"/>
    </row>
    <row r="16" spans="1:16" ht="19.350000000000001" customHeight="1">
      <c r="A16" s="102" t="s">
        <v>68</v>
      </c>
      <c r="B16" s="102"/>
      <c r="C16" s="116"/>
      <c r="F16" s="107"/>
      <c r="G16" s="10"/>
      <c r="H16" s="103"/>
      <c r="I16" s="108">
        <f>Tableau3[[#This Row],[Stock final]]*Tableau3[[#This Row],[P.U.]]</f>
        <v>0</v>
      </c>
      <c r="J16" s="184"/>
      <c r="K16" s="29"/>
      <c r="L16" s="67"/>
      <c r="M16" s="30"/>
      <c r="N16" s="19"/>
      <c r="O16" s="31"/>
    </row>
    <row r="17" spans="1:15" ht="19.350000000000001" customHeight="1">
      <c r="A17" s="102" t="s">
        <v>68</v>
      </c>
      <c r="B17" s="102"/>
      <c r="C17" s="116"/>
      <c r="F17" s="107"/>
      <c r="G17" s="10"/>
      <c r="H17" s="103"/>
      <c r="I17" s="108">
        <f>Tableau3[[#This Row],[Stock final]]*Tableau3[[#This Row],[P.U.]]</f>
        <v>0</v>
      </c>
      <c r="J17" s="184"/>
      <c r="K17" s="29"/>
      <c r="L17" s="67"/>
      <c r="M17" s="30"/>
      <c r="N17" s="19"/>
      <c r="O17" s="31"/>
    </row>
    <row r="18" spans="1:15" ht="19.350000000000001" customHeight="1">
      <c r="A18" s="109" t="s">
        <v>68</v>
      </c>
      <c r="B18" s="104"/>
      <c r="C18" s="116"/>
      <c r="F18" s="13"/>
      <c r="G18" s="10"/>
      <c r="H18" s="20"/>
      <c r="I18" s="21">
        <f>Tableau3[[#This Row],[Stock final]]*Tableau3[[#This Row],[P.U.]]</f>
        <v>0</v>
      </c>
      <c r="J18" s="184"/>
      <c r="K18" s="29"/>
      <c r="L18" s="65"/>
      <c r="M18" s="30"/>
      <c r="N18" s="19"/>
      <c r="O18" s="31"/>
    </row>
    <row r="19" spans="1:15" ht="19.350000000000001" customHeight="1">
      <c r="A19" s="102" t="s">
        <v>68</v>
      </c>
      <c r="B19" s="17"/>
      <c r="C19" s="116"/>
      <c r="F19" s="13"/>
      <c r="G19" s="10"/>
      <c r="H19" s="20"/>
      <c r="I19" s="21">
        <f>Tableau3[[#This Row],[Stock final]]*Tableau3[[#This Row],[P.U.]]</f>
        <v>0</v>
      </c>
      <c r="J19" s="184"/>
      <c r="K19" s="68"/>
      <c r="L19" s="69"/>
      <c r="M19" s="30"/>
      <c r="N19" s="19"/>
      <c r="O19" s="31"/>
    </row>
    <row r="20" spans="1:15" ht="19.350000000000001" customHeight="1">
      <c r="A20" s="102" t="s">
        <v>68</v>
      </c>
      <c r="B20" s="17"/>
      <c r="C20" s="116"/>
      <c r="F20" s="13"/>
      <c r="G20" s="10"/>
      <c r="H20" s="20"/>
      <c r="I20" s="21">
        <f>Tableau3[[#This Row],[Stock final]]*Tableau3[[#This Row],[P.U.]]</f>
        <v>0</v>
      </c>
      <c r="J20" s="184"/>
      <c r="K20" s="29"/>
      <c r="L20" s="70"/>
      <c r="M20" s="30"/>
      <c r="N20" s="19"/>
      <c r="O20" s="31"/>
    </row>
    <row r="21" spans="1:15" ht="19.350000000000001" customHeight="1">
      <c r="A21" s="102" t="s">
        <v>68</v>
      </c>
      <c r="B21" s="17"/>
      <c r="C21" s="116"/>
      <c r="F21" s="13"/>
      <c r="G21" s="10"/>
      <c r="H21" s="20"/>
      <c r="I21" s="21">
        <f>Tableau3[[#This Row],[Stock final]]*Tableau3[[#This Row],[P.U.]]</f>
        <v>0</v>
      </c>
      <c r="J21" s="184"/>
      <c r="K21" s="29"/>
      <c r="L21" s="70"/>
      <c r="M21" s="30"/>
      <c r="N21" s="19"/>
      <c r="O21" s="31"/>
    </row>
    <row r="22" spans="1:15" ht="19.350000000000001" customHeight="1">
      <c r="A22" s="102" t="s">
        <v>68</v>
      </c>
      <c r="B22" s="17"/>
      <c r="C22" s="116"/>
      <c r="F22" s="13"/>
      <c r="G22" s="10"/>
      <c r="H22" s="20"/>
      <c r="I22" s="21">
        <f>Tableau3[[#This Row],[Stock final]]*Tableau3[[#This Row],[P.U.]]</f>
        <v>0</v>
      </c>
      <c r="J22" s="184"/>
      <c r="K22" s="29"/>
      <c r="L22" s="70"/>
      <c r="M22" s="30"/>
      <c r="N22" s="19"/>
      <c r="O22" s="31"/>
    </row>
    <row r="23" spans="1:15" ht="19.350000000000001" customHeight="1">
      <c r="A23" s="102" t="s">
        <v>68</v>
      </c>
      <c r="B23" s="17"/>
      <c r="C23" s="116"/>
      <c r="F23" s="13"/>
      <c r="G23" s="10"/>
      <c r="H23" s="20"/>
      <c r="I23" s="21">
        <f>Tableau3[[#This Row],[Stock final]]*Tableau3[[#This Row],[P.U.]]</f>
        <v>0</v>
      </c>
      <c r="J23" s="184"/>
      <c r="K23" s="29"/>
      <c r="L23" s="70"/>
      <c r="M23" s="30"/>
      <c r="N23" s="19"/>
      <c r="O23" s="31"/>
    </row>
    <row r="24" spans="1:15" ht="19.350000000000001" customHeight="1">
      <c r="A24" s="102" t="s">
        <v>68</v>
      </c>
      <c r="B24" s="17"/>
      <c r="C24" s="116"/>
      <c r="F24" s="13"/>
      <c r="G24" s="10"/>
      <c r="H24" s="20"/>
      <c r="I24" s="21">
        <f>Tableau3[[#This Row],[Stock final]]*Tableau3[[#This Row],[P.U.]]</f>
        <v>0</v>
      </c>
      <c r="J24" s="184"/>
      <c r="K24" s="29"/>
      <c r="L24" s="70"/>
      <c r="M24" s="30"/>
      <c r="N24" s="19"/>
      <c r="O24" s="31"/>
    </row>
    <row r="25" spans="1:15" ht="19.350000000000001" customHeight="1">
      <c r="A25" s="102" t="s">
        <v>68</v>
      </c>
      <c r="B25" s="17"/>
      <c r="C25" s="116"/>
      <c r="F25" s="13"/>
      <c r="G25" s="10"/>
      <c r="H25" s="20"/>
      <c r="I25" s="21">
        <f>Tableau3[[#This Row],[Stock final]]*Tableau3[[#This Row],[P.U.]]</f>
        <v>0</v>
      </c>
      <c r="J25" s="184"/>
      <c r="K25" s="29"/>
      <c r="L25" s="70"/>
      <c r="M25" s="30"/>
      <c r="N25" s="19"/>
      <c r="O25" s="31"/>
    </row>
    <row r="26" spans="1:15" ht="19.350000000000001" customHeight="1">
      <c r="A26" s="102" t="s">
        <v>68</v>
      </c>
      <c r="B26" s="17"/>
      <c r="C26" s="116"/>
      <c r="F26" s="13"/>
      <c r="G26" s="10"/>
      <c r="H26" s="20"/>
      <c r="I26" s="21">
        <f>Tableau3[[#This Row],[Stock final]]*Tableau3[[#This Row],[P.U.]]</f>
        <v>0</v>
      </c>
      <c r="J26" s="184"/>
      <c r="K26" s="29"/>
      <c r="L26" s="70"/>
      <c r="M26" s="30"/>
      <c r="N26" s="19"/>
      <c r="O26" s="31"/>
    </row>
    <row r="27" spans="1:15" ht="15.75">
      <c r="A27" s="105" t="s">
        <v>68</v>
      </c>
      <c r="B27" s="102"/>
      <c r="C27" s="116"/>
      <c r="F27" s="13"/>
      <c r="G27" s="10"/>
      <c r="H27" s="20"/>
      <c r="I27" s="21">
        <f>Tableau3[[#This Row],[Stock final]]*Tableau3[[#This Row],[P.U.]]</f>
        <v>0</v>
      </c>
      <c r="J27" s="184"/>
      <c r="K27" s="29"/>
      <c r="L27" s="70"/>
      <c r="M27" s="30"/>
      <c r="N27" s="19"/>
      <c r="O27" s="31"/>
    </row>
    <row r="28" spans="1:15" ht="15.75">
      <c r="A28" s="102" t="s">
        <v>68</v>
      </c>
      <c r="B28" s="109"/>
      <c r="C28" s="116"/>
      <c r="F28" s="13"/>
      <c r="G28" s="10"/>
      <c r="H28" s="20"/>
      <c r="I28" s="21">
        <f>Tableau3[[#This Row],[Stock final]]*Tableau3[[#This Row],[P.U.]]</f>
        <v>0</v>
      </c>
      <c r="J28" s="184"/>
      <c r="K28" s="29"/>
      <c r="L28" s="70"/>
      <c r="M28" s="30"/>
      <c r="N28" s="19"/>
      <c r="O28" s="31"/>
    </row>
    <row r="29" spans="1:15" ht="15.75">
      <c r="A29" s="102" t="s">
        <v>68</v>
      </c>
      <c r="B29" s="105"/>
      <c r="C29" s="116"/>
      <c r="F29" s="13"/>
      <c r="G29" s="10"/>
      <c r="H29" s="20"/>
      <c r="I29" s="21">
        <f>Tableau3[[#This Row],[Stock final]]*Tableau3[[#This Row],[P.U.]]</f>
        <v>0</v>
      </c>
      <c r="J29" s="184"/>
      <c r="K29" s="29"/>
      <c r="L29" s="70"/>
      <c r="M29" s="30"/>
      <c r="N29" s="19"/>
      <c r="O29" s="31"/>
    </row>
    <row r="30" spans="1:15" ht="15.75">
      <c r="A30" s="102" t="s">
        <v>68</v>
      </c>
      <c r="B30" s="109"/>
      <c r="C30" s="116"/>
      <c r="F30" s="13"/>
      <c r="G30" s="10"/>
      <c r="H30" s="20"/>
      <c r="I30" s="21">
        <f>Tableau3[[#This Row],[Stock final]]*Tableau3[[#This Row],[P.U.]]</f>
        <v>0</v>
      </c>
      <c r="J30" s="184"/>
      <c r="K30" s="29"/>
      <c r="L30" s="70"/>
      <c r="M30" s="30"/>
      <c r="N30" s="19"/>
      <c r="O30" s="31"/>
    </row>
    <row r="31" spans="1:15" ht="15.75">
      <c r="A31" s="102" t="s">
        <v>68</v>
      </c>
      <c r="B31" s="105"/>
      <c r="C31" s="116"/>
      <c r="F31" s="13"/>
      <c r="G31" s="10"/>
      <c r="H31" s="20"/>
      <c r="I31" s="21">
        <f>Tableau3[[#This Row],[Stock final]]*Tableau3[[#This Row],[P.U.]]</f>
        <v>0</v>
      </c>
      <c r="J31" s="184"/>
      <c r="K31" s="29"/>
      <c r="L31" s="70"/>
      <c r="M31" s="30"/>
      <c r="N31" s="19"/>
      <c r="O31" s="31"/>
    </row>
    <row r="32" spans="1:15" ht="15.75">
      <c r="A32" s="102" t="s">
        <v>68</v>
      </c>
      <c r="B32" s="102"/>
      <c r="C32" s="116"/>
      <c r="F32" s="13"/>
      <c r="G32" s="10"/>
      <c r="H32" s="20"/>
      <c r="I32" s="21">
        <f>Tableau3[[#This Row],[Stock final]]*Tableau3[[#This Row],[P.U.]]</f>
        <v>0</v>
      </c>
      <c r="J32" s="184"/>
      <c r="K32" s="32"/>
      <c r="L32" s="72"/>
      <c r="M32" s="33"/>
      <c r="N32" s="23"/>
      <c r="O32" s="34"/>
    </row>
    <row r="33" spans="1:15" ht="15.75">
      <c r="A33" s="102" t="s">
        <v>68</v>
      </c>
      <c r="B33" s="102"/>
      <c r="C33" s="116"/>
      <c r="F33" s="13"/>
      <c r="G33" s="10"/>
      <c r="H33" s="20"/>
      <c r="I33" s="21">
        <f>Tableau3[[#This Row],[Stock final]]*Tableau3[[#This Row],[P.U.]]</f>
        <v>0</v>
      </c>
      <c r="J33" s="184"/>
      <c r="K33" s="69"/>
      <c r="L33" s="76"/>
      <c r="M33" s="73"/>
      <c r="N33" s="74"/>
      <c r="O33" s="75"/>
    </row>
    <row r="34" spans="1:15" ht="15.75">
      <c r="A34" s="102" t="s">
        <v>68</v>
      </c>
      <c r="B34" s="102"/>
      <c r="C34" s="116"/>
      <c r="F34" s="13"/>
      <c r="G34" s="10"/>
      <c r="H34" s="20"/>
      <c r="I34" s="21">
        <f>Tableau3[[#This Row],[Stock final]]*Tableau3[[#This Row],[P.U.]]</f>
        <v>0</v>
      </c>
      <c r="J34" s="184"/>
      <c r="K34" s="69"/>
      <c r="L34" s="76"/>
      <c r="M34" s="73"/>
      <c r="N34" s="74"/>
      <c r="O34" s="75"/>
    </row>
    <row r="35" spans="1:15" ht="15.75">
      <c r="A35" s="102" t="s">
        <v>68</v>
      </c>
      <c r="B35" s="102"/>
      <c r="C35" s="116"/>
      <c r="F35" s="13"/>
      <c r="G35" s="10"/>
      <c r="H35" s="20"/>
      <c r="I35" s="21">
        <f>Tableau3[[#This Row],[Stock final]]*Tableau3[[#This Row],[P.U.]]</f>
        <v>0</v>
      </c>
      <c r="J35" s="184"/>
      <c r="K35" s="69"/>
      <c r="L35" s="76"/>
      <c r="M35" s="73"/>
      <c r="N35" s="74"/>
      <c r="O35" s="75"/>
    </row>
    <row r="36" spans="1:15" ht="15.75">
      <c r="A36" s="102" t="s">
        <v>68</v>
      </c>
      <c r="B36" s="17"/>
      <c r="C36" s="116"/>
      <c r="F36" s="13"/>
      <c r="G36" s="10"/>
      <c r="H36" s="20"/>
      <c r="I36" s="21">
        <f>Tableau3[[#This Row],[Stock final]]*Tableau3[[#This Row],[P.U.]]</f>
        <v>0</v>
      </c>
      <c r="J36" s="184"/>
      <c r="K36" s="69"/>
      <c r="L36" s="76"/>
      <c r="M36" s="73"/>
      <c r="N36" s="74"/>
      <c r="O36" s="75"/>
    </row>
    <row r="37" spans="1:15" ht="15.75">
      <c r="A37" s="102" t="s">
        <v>68</v>
      </c>
      <c r="B37" s="17"/>
      <c r="C37" s="116"/>
      <c r="F37" s="13"/>
      <c r="G37" s="10"/>
      <c r="H37" s="20"/>
      <c r="I37" s="21">
        <f>Tableau3[[#This Row],[Stock final]]*Tableau3[[#This Row],[P.U.]]</f>
        <v>0</v>
      </c>
      <c r="J37" s="184"/>
      <c r="K37" s="77"/>
      <c r="L37" s="76"/>
      <c r="M37" s="78"/>
      <c r="N37" s="79"/>
      <c r="O37" s="80"/>
    </row>
    <row r="38" spans="1:15" ht="15.75">
      <c r="A38" s="102" t="s">
        <v>68</v>
      </c>
      <c r="B38" s="17"/>
      <c r="C38" s="116"/>
      <c r="F38" s="13"/>
      <c r="G38" s="10"/>
      <c r="H38" s="20"/>
      <c r="I38" s="21">
        <f>Tableau3[[#This Row],[Stock final]]*Tableau3[[#This Row],[P.U.]]</f>
        <v>0</v>
      </c>
      <c r="J38" s="184"/>
      <c r="K38" s="69"/>
      <c r="L38" s="39"/>
      <c r="M38" s="73"/>
      <c r="N38" s="74"/>
      <c r="O38" s="75"/>
    </row>
    <row r="39" spans="1:15" ht="15.75">
      <c r="A39" s="102" t="s">
        <v>68</v>
      </c>
      <c r="B39" s="17"/>
      <c r="C39" s="116"/>
      <c r="F39" s="13"/>
      <c r="G39" s="10"/>
      <c r="H39" s="14"/>
      <c r="I39" s="22">
        <f>Tableau3[[#This Row],[Stock final]]*Tableau3[[#This Row],[P.U.]]</f>
        <v>0</v>
      </c>
      <c r="J39" s="184"/>
      <c r="K39" s="77"/>
      <c r="L39" s="76"/>
      <c r="M39" s="78"/>
      <c r="N39" s="79"/>
      <c r="O39" s="80"/>
    </row>
    <row r="40" spans="1:15" ht="15.75">
      <c r="A40" s="102" t="s">
        <v>68</v>
      </c>
      <c r="B40" s="17"/>
      <c r="C40" s="116"/>
      <c r="F40" s="13"/>
      <c r="G40" s="10"/>
      <c r="H40" s="14"/>
      <c r="I40" s="22">
        <f>Tableau3[[#This Row],[Stock final]]*Tableau3[[#This Row],[P.U.]]</f>
        <v>0</v>
      </c>
      <c r="J40" s="184"/>
      <c r="K40" s="77"/>
      <c r="L40" s="76"/>
      <c r="M40" s="78"/>
      <c r="N40" s="79"/>
      <c r="O40" s="80"/>
    </row>
    <row r="41" spans="1:15" ht="15.75">
      <c r="A41" s="102" t="s">
        <v>68</v>
      </c>
      <c r="B41" s="17"/>
      <c r="C41" s="116"/>
      <c r="F41" s="13"/>
      <c r="G41" s="10"/>
      <c r="H41" s="14"/>
      <c r="I41" s="22">
        <f>Tableau3[[#This Row],[Stock final]]*Tableau3[[#This Row],[P.U.]]</f>
        <v>0</v>
      </c>
      <c r="J41" s="184"/>
      <c r="K41" s="77"/>
      <c r="L41" s="76"/>
      <c r="M41" s="78"/>
      <c r="N41" s="79"/>
      <c r="O41" s="80"/>
    </row>
    <row r="42" spans="1:15" ht="15.75">
      <c r="A42" s="102" t="s">
        <v>68</v>
      </c>
      <c r="B42" s="17"/>
      <c r="C42" s="116"/>
      <c r="F42" s="13"/>
      <c r="G42" s="10"/>
      <c r="H42" s="14"/>
      <c r="I42" s="22">
        <f>Tableau3[[#This Row],[Stock final]]*Tableau3[[#This Row],[P.U.]]</f>
        <v>0</v>
      </c>
      <c r="J42" s="184"/>
      <c r="K42" s="77"/>
      <c r="L42" s="76"/>
      <c r="M42" s="78"/>
      <c r="N42" s="79"/>
      <c r="O42" s="80"/>
    </row>
    <row r="43" spans="1:15" ht="15.75">
      <c r="A43" s="102" t="s">
        <v>68</v>
      </c>
      <c r="B43" s="17"/>
      <c r="C43" s="116"/>
      <c r="F43" s="13"/>
      <c r="G43" s="10"/>
      <c r="H43" s="14"/>
      <c r="I43" s="22">
        <f>Tableau3[[#This Row],[Stock final]]*Tableau3[[#This Row],[P.U.]]</f>
        <v>0</v>
      </c>
      <c r="J43" s="184"/>
      <c r="K43" s="69"/>
      <c r="L43" s="76"/>
      <c r="M43" s="73"/>
      <c r="N43" s="74"/>
      <c r="O43" s="75"/>
    </row>
    <row r="44" spans="1:15" ht="15.75">
      <c r="A44" s="102" t="s">
        <v>68</v>
      </c>
      <c r="B44" s="17"/>
      <c r="C44" s="116"/>
      <c r="F44" s="13"/>
      <c r="G44" s="10"/>
      <c r="H44" s="14"/>
      <c r="I44" s="22">
        <f>Tableau3[[#This Row],[Stock final]]*Tableau3[[#This Row],[P.U.]]</f>
        <v>0</v>
      </c>
      <c r="J44" s="184"/>
      <c r="K44" s="77"/>
      <c r="L44" s="76"/>
      <c r="M44" s="78"/>
      <c r="N44" s="79"/>
      <c r="O44" s="80"/>
    </row>
    <row r="45" spans="1:15" ht="15.75">
      <c r="A45" s="102" t="s">
        <v>68</v>
      </c>
      <c r="B45" s="17"/>
      <c r="C45" s="116"/>
      <c r="F45" s="13"/>
      <c r="G45" s="10"/>
      <c r="H45" s="14"/>
      <c r="I45" s="22">
        <f>Tableau3[[#This Row],[Stock final]]*Tableau3[[#This Row],[P.U.]]</f>
        <v>0</v>
      </c>
      <c r="J45" s="184"/>
      <c r="K45" s="69"/>
      <c r="L45" s="76"/>
      <c r="M45" s="73"/>
      <c r="N45" s="74"/>
      <c r="O45" s="75"/>
    </row>
    <row r="46" spans="1:15" ht="15.75">
      <c r="A46" s="102" t="s">
        <v>68</v>
      </c>
      <c r="B46" s="17"/>
      <c r="C46" s="116"/>
      <c r="F46" s="13"/>
      <c r="G46" s="10"/>
      <c r="H46" s="14"/>
      <c r="I46" s="22">
        <f>Tableau3[[#This Row],[Stock final]]*Tableau3[[#This Row],[P.U.]]</f>
        <v>0</v>
      </c>
      <c r="J46" s="184"/>
      <c r="K46" s="77"/>
      <c r="L46" s="76"/>
      <c r="M46" s="78"/>
      <c r="N46" s="79"/>
      <c r="O46" s="80"/>
    </row>
    <row r="47" spans="1:15" ht="15.75">
      <c r="A47" s="102" t="s">
        <v>68</v>
      </c>
      <c r="B47" s="17"/>
      <c r="C47" s="116"/>
      <c r="F47" s="13"/>
      <c r="G47" s="10"/>
      <c r="H47" s="14"/>
      <c r="I47" s="22">
        <f>Tableau3[[#This Row],[Stock final]]*Tableau3[[#This Row],[P.U.]]</f>
        <v>0</v>
      </c>
      <c r="J47" s="184"/>
      <c r="K47" s="98"/>
      <c r="L47" s="97"/>
      <c r="M47" s="99"/>
      <c r="N47" s="100"/>
      <c r="O47" s="101"/>
    </row>
    <row r="48" spans="1:15" ht="15.75">
      <c r="A48" s="102" t="s">
        <v>68</v>
      </c>
      <c r="B48" s="17"/>
      <c r="C48" s="116"/>
      <c r="F48" s="13"/>
      <c r="G48" s="10"/>
      <c r="H48" s="14"/>
      <c r="I48" s="22">
        <f>Tableau3[[#This Row],[Stock final]]*Tableau3[[#This Row],[P.U.]]</f>
        <v>0</v>
      </c>
      <c r="J48" s="184"/>
      <c r="K48" s="98"/>
      <c r="L48" s="97"/>
      <c r="M48" s="99"/>
      <c r="N48" s="100"/>
      <c r="O48" s="101"/>
    </row>
    <row r="49" spans="1:15" ht="15.75">
      <c r="A49" s="102" t="s">
        <v>75</v>
      </c>
      <c r="B49" s="17"/>
      <c r="C49" s="116"/>
      <c r="F49" s="13"/>
      <c r="G49" s="10"/>
      <c r="H49" s="14"/>
      <c r="I49" s="22">
        <f>Tableau3[[#This Row],[Stock final]]*Tableau3[[#This Row],[P.U.]]</f>
        <v>0</v>
      </c>
      <c r="J49" s="184"/>
      <c r="K49" s="98"/>
      <c r="L49" s="97"/>
      <c r="M49" s="99"/>
      <c r="N49" s="100"/>
      <c r="O49" s="101"/>
    </row>
    <row r="50" spans="1:15" ht="15.75">
      <c r="A50" s="102" t="s">
        <v>75</v>
      </c>
      <c r="B50" s="17"/>
      <c r="C50" s="116"/>
      <c r="F50" s="13"/>
      <c r="G50" s="10"/>
      <c r="H50" s="14"/>
      <c r="I50" s="22">
        <f>Tableau3[[#This Row],[Stock final]]*Tableau3[[#This Row],[P.U.]]</f>
        <v>0</v>
      </c>
      <c r="J50" s="184"/>
      <c r="K50" s="77"/>
      <c r="L50" s="76"/>
      <c r="M50" s="78"/>
      <c r="N50" s="79"/>
      <c r="O50" s="80"/>
    </row>
    <row r="51" spans="1:15" ht="15.75">
      <c r="A51" s="102" t="s">
        <v>75</v>
      </c>
      <c r="B51" s="17"/>
      <c r="C51" s="116"/>
      <c r="F51" s="13"/>
      <c r="G51" s="10"/>
      <c r="H51" s="14"/>
      <c r="I51" s="22">
        <f>Tableau3[[#This Row],[Stock final]]*Tableau3[[#This Row],[P.U.]]</f>
        <v>0</v>
      </c>
      <c r="J51" s="184"/>
      <c r="K51" s="69"/>
      <c r="L51" s="82"/>
      <c r="M51" s="73"/>
      <c r="N51" s="74"/>
      <c r="O51" s="75"/>
    </row>
    <row r="52" spans="1:15" ht="15.75">
      <c r="A52" s="102" t="s">
        <v>75</v>
      </c>
      <c r="B52" s="17"/>
      <c r="C52" s="116"/>
      <c r="F52" s="13"/>
      <c r="G52" s="10"/>
      <c r="H52" s="14"/>
      <c r="I52" s="22">
        <f>Tableau3[[#This Row],[Stock final]]*Tableau3[[#This Row],[P.U.]]</f>
        <v>0</v>
      </c>
      <c r="J52" s="184"/>
      <c r="K52" s="77"/>
      <c r="L52" s="76"/>
      <c r="M52" s="78"/>
      <c r="N52" s="79"/>
      <c r="O52" s="80"/>
    </row>
    <row r="53" spans="1:15" ht="15.75">
      <c r="A53" s="102" t="s">
        <v>75</v>
      </c>
      <c r="B53" s="17"/>
      <c r="C53" s="116"/>
      <c r="F53" s="13"/>
      <c r="G53" s="10"/>
      <c r="H53" s="14"/>
      <c r="I53" s="22">
        <f>Tableau3[[#This Row],[Stock final]]*Tableau3[[#This Row],[P.U.]]</f>
        <v>0</v>
      </c>
      <c r="J53" s="184"/>
      <c r="K53" s="77"/>
      <c r="L53" s="52"/>
      <c r="M53" s="78"/>
      <c r="N53" s="79"/>
      <c r="O53" s="80"/>
    </row>
    <row r="54" spans="1:15" ht="15.75">
      <c r="A54" s="102" t="s">
        <v>75</v>
      </c>
      <c r="B54" s="17"/>
      <c r="C54" s="116"/>
      <c r="F54" s="13"/>
      <c r="G54" s="10"/>
      <c r="H54" s="14"/>
      <c r="I54" s="22">
        <f>Tableau3[[#This Row],[Stock final]]*Tableau3[[#This Row],[P.U.]]</f>
        <v>0</v>
      </c>
      <c r="J54" s="184"/>
      <c r="K54" s="77"/>
      <c r="L54" s="82"/>
      <c r="M54" s="78"/>
      <c r="N54" s="79"/>
      <c r="O54" s="80"/>
    </row>
    <row r="55" spans="1:15" ht="15.75">
      <c r="A55" s="102" t="s">
        <v>75</v>
      </c>
      <c r="B55" s="17"/>
      <c r="C55" s="116"/>
      <c r="F55" s="13"/>
      <c r="G55" s="10"/>
      <c r="H55" s="14"/>
      <c r="I55" s="22">
        <f>Tableau3[[#This Row],[Stock final]]*Tableau3[[#This Row],[P.U.]]</f>
        <v>0</v>
      </c>
      <c r="J55" s="184"/>
      <c r="K55" s="77"/>
      <c r="L55" s="82"/>
      <c r="M55" s="78"/>
      <c r="N55" s="79"/>
      <c r="O55" s="80"/>
    </row>
    <row r="56" spans="1:15" ht="15.75">
      <c r="A56" s="142" t="s">
        <v>75</v>
      </c>
      <c r="B56" s="102"/>
      <c r="C56" s="116"/>
      <c r="F56" s="13"/>
      <c r="G56" s="10"/>
      <c r="H56" s="20"/>
      <c r="I56" s="21">
        <f>Tableau3[[#This Row],[Stock final]]*Tableau3[[#This Row],[P.U.]]</f>
        <v>0</v>
      </c>
      <c r="J56" s="184"/>
      <c r="K56" s="77"/>
      <c r="L56" s="82"/>
      <c r="M56" s="78"/>
      <c r="N56" s="79"/>
      <c r="O56" s="80"/>
    </row>
    <row r="57" spans="1:15" ht="15.75">
      <c r="A57" s="102" t="s">
        <v>75</v>
      </c>
      <c r="B57" s="109"/>
      <c r="C57" s="116"/>
      <c r="F57" s="13"/>
      <c r="G57" s="10"/>
      <c r="H57" s="20"/>
      <c r="I57" s="21">
        <f>Tableau3[[#This Row],[Stock final]]*Tableau3[[#This Row],[P.U.]]</f>
        <v>0</v>
      </c>
      <c r="J57" s="184"/>
      <c r="K57" s="77"/>
      <c r="L57" s="82"/>
      <c r="M57" s="78"/>
      <c r="N57" s="79"/>
      <c r="O57" s="80"/>
    </row>
    <row r="58" spans="1:15" ht="15.75">
      <c r="A58" s="102" t="s">
        <v>75</v>
      </c>
      <c r="B58" s="105"/>
      <c r="C58" s="116"/>
      <c r="F58" s="13"/>
      <c r="G58" s="10"/>
      <c r="H58" s="20"/>
      <c r="I58" s="21">
        <f>Tableau3[[#This Row],[Stock final]]*Tableau3[[#This Row],[P.U.]]</f>
        <v>0</v>
      </c>
      <c r="J58" s="184"/>
      <c r="K58" s="77"/>
      <c r="L58" s="82"/>
      <c r="M58" s="78"/>
      <c r="N58" s="79"/>
      <c r="O58" s="80"/>
    </row>
    <row r="59" spans="1:15" ht="15.75">
      <c r="A59" s="142" t="s">
        <v>75</v>
      </c>
      <c r="B59" s="102"/>
      <c r="C59" s="116"/>
      <c r="F59" s="13"/>
      <c r="G59" s="10"/>
      <c r="H59" s="20"/>
      <c r="I59" s="21">
        <f>Tableau3[[#This Row],[Stock final]]*Tableau3[[#This Row],[P.U.]]</f>
        <v>0</v>
      </c>
      <c r="J59" s="184"/>
      <c r="K59" s="77"/>
      <c r="L59" s="82"/>
      <c r="M59" s="78"/>
      <c r="N59" s="79"/>
      <c r="O59" s="80"/>
    </row>
    <row r="60" spans="1:15" ht="15.75">
      <c r="A60" s="102" t="s">
        <v>75</v>
      </c>
      <c r="B60" s="109"/>
      <c r="C60" s="116"/>
      <c r="F60" s="13"/>
      <c r="G60" s="10"/>
      <c r="H60" s="20"/>
      <c r="I60" s="21">
        <f>Tableau3[[#This Row],[Stock final]]*Tableau3[[#This Row],[P.U.]]</f>
        <v>0</v>
      </c>
      <c r="J60" s="184"/>
      <c r="K60" s="77"/>
      <c r="L60" s="82"/>
      <c r="M60" s="78"/>
      <c r="N60" s="79"/>
      <c r="O60" s="80"/>
    </row>
    <row r="61" spans="1:15" ht="15.75">
      <c r="A61" s="102" t="s">
        <v>75</v>
      </c>
      <c r="B61" s="105"/>
      <c r="C61" s="116"/>
      <c r="F61" s="13"/>
      <c r="G61" s="10"/>
      <c r="H61" s="20"/>
      <c r="I61" s="21">
        <f>Tableau3[[#This Row],[Stock final]]*Tableau3[[#This Row],[P.U.]]</f>
        <v>0</v>
      </c>
      <c r="J61" s="184"/>
      <c r="K61" s="77"/>
      <c r="L61" s="82"/>
      <c r="M61" s="78"/>
      <c r="N61" s="79"/>
      <c r="O61" s="80"/>
    </row>
    <row r="62" spans="1:15" ht="15.75">
      <c r="A62" s="102" t="s">
        <v>75</v>
      </c>
      <c r="B62" s="109"/>
      <c r="C62" s="116"/>
      <c r="F62" s="13"/>
      <c r="G62" s="10"/>
      <c r="H62" s="20"/>
      <c r="I62" s="21">
        <f>Tableau3[[#This Row],[Stock final]]*Tableau3[[#This Row],[P.U.]]</f>
        <v>0</v>
      </c>
      <c r="J62" s="184"/>
      <c r="K62" s="69"/>
      <c r="L62" s="70"/>
      <c r="M62" s="73"/>
      <c r="N62" s="74"/>
      <c r="O62" s="75"/>
    </row>
    <row r="63" spans="1:15" ht="15.75">
      <c r="A63" s="102" t="s">
        <v>75</v>
      </c>
      <c r="B63" s="105"/>
      <c r="C63" s="116"/>
      <c r="F63" s="13"/>
      <c r="G63" s="10"/>
      <c r="H63" s="20"/>
      <c r="I63" s="21">
        <f>Tableau3[[#This Row],[Stock final]]*Tableau3[[#This Row],[P.U.]]</f>
        <v>0</v>
      </c>
      <c r="J63" s="184"/>
      <c r="K63" s="83"/>
      <c r="L63" s="82"/>
      <c r="M63" s="84"/>
      <c r="N63" s="85"/>
      <c r="O63" s="86"/>
    </row>
    <row r="64" spans="1:15" ht="15.75">
      <c r="A64" s="102" t="s">
        <v>75</v>
      </c>
      <c r="B64" s="102"/>
      <c r="C64" s="116"/>
      <c r="F64" s="13"/>
      <c r="G64" s="10"/>
      <c r="H64" s="20"/>
      <c r="I64" s="21">
        <f>Tableau3[[#This Row],[Stock final]]*Tableau3[[#This Row],[P.U.]]</f>
        <v>0</v>
      </c>
      <c r="J64" s="184"/>
      <c r="K64" s="83"/>
      <c r="L64" s="82"/>
      <c r="M64" s="84"/>
      <c r="N64" s="85"/>
      <c r="O64" s="86"/>
    </row>
    <row r="65" spans="1:15" ht="15.75">
      <c r="A65" s="102" t="s">
        <v>75</v>
      </c>
      <c r="B65" s="102"/>
      <c r="C65" s="116"/>
      <c r="F65" s="13"/>
      <c r="G65" s="10"/>
      <c r="H65" s="20"/>
      <c r="I65" s="21">
        <f>Tableau3[[#This Row],[Stock final]]*Tableau3[[#This Row],[P.U.]]</f>
        <v>0</v>
      </c>
      <c r="J65" s="184"/>
      <c r="K65" s="83"/>
      <c r="L65" s="97"/>
      <c r="M65" s="84"/>
      <c r="N65" s="85"/>
      <c r="O65" s="86"/>
    </row>
    <row r="66" spans="1:15" ht="15.75">
      <c r="A66" s="102" t="s">
        <v>75</v>
      </c>
      <c r="B66" s="102"/>
      <c r="C66" s="116"/>
      <c r="F66" s="13"/>
      <c r="G66" s="10"/>
      <c r="H66" s="20"/>
      <c r="I66" s="21">
        <f>Tableau3[[#This Row],[Stock final]]*Tableau3[[#This Row],[P.U.]]</f>
        <v>0</v>
      </c>
      <c r="J66" s="184"/>
      <c r="K66" s="69"/>
      <c r="L66" s="70"/>
      <c r="M66" s="73"/>
      <c r="N66" s="74"/>
      <c r="O66" s="75"/>
    </row>
    <row r="67" spans="1:15" ht="15.75">
      <c r="A67" s="102" t="s">
        <v>75</v>
      </c>
      <c r="B67" s="102"/>
      <c r="C67" s="116"/>
      <c r="F67" s="13"/>
      <c r="G67" s="10"/>
      <c r="H67" s="20"/>
      <c r="I67" s="21">
        <f>Tableau3[[#This Row],[Stock final]]*Tableau3[[#This Row],[P.U.]]</f>
        <v>0</v>
      </c>
      <c r="J67" s="184"/>
      <c r="K67" s="98"/>
      <c r="L67" s="97"/>
      <c r="M67" s="99"/>
      <c r="N67" s="100"/>
      <c r="O67" s="101"/>
    </row>
    <row r="68" spans="1:15" ht="15.75">
      <c r="A68" s="102" t="s">
        <v>75</v>
      </c>
      <c r="B68" s="17"/>
      <c r="C68" s="116"/>
      <c r="F68" s="13"/>
      <c r="G68" s="10"/>
      <c r="H68" s="14"/>
      <c r="I68" s="22">
        <f>Tableau3[[#This Row],[Stock final]]*Tableau3[[#This Row],[P.U.]]</f>
        <v>0</v>
      </c>
      <c r="J68" s="184"/>
      <c r="K68" s="98"/>
      <c r="L68" s="97"/>
      <c r="M68" s="99"/>
      <c r="N68" s="100"/>
      <c r="O68" s="101"/>
    </row>
    <row r="69" spans="1:15" ht="15.75">
      <c r="A69" s="102" t="s">
        <v>75</v>
      </c>
      <c r="B69" s="17"/>
      <c r="C69" s="116"/>
      <c r="F69" s="13"/>
      <c r="G69" s="10"/>
      <c r="H69" s="14"/>
      <c r="I69" s="22">
        <f>Tableau3[[#This Row],[Stock final]]*Tableau3[[#This Row],[P.U.]]</f>
        <v>0</v>
      </c>
      <c r="J69" s="184"/>
      <c r="K69" s="98"/>
      <c r="L69" s="97"/>
      <c r="M69" s="99"/>
      <c r="N69" s="100"/>
      <c r="O69" s="101"/>
    </row>
    <row r="70" spans="1:15" ht="15.75">
      <c r="A70" s="102" t="s">
        <v>75</v>
      </c>
      <c r="B70" s="17"/>
      <c r="C70" s="116"/>
      <c r="F70" s="13"/>
      <c r="G70" s="10"/>
      <c r="H70" s="14"/>
      <c r="I70" s="22">
        <f>Tableau3[[#This Row],[Stock final]]*Tableau3[[#This Row],[P.U.]]</f>
        <v>0</v>
      </c>
      <c r="J70" s="184"/>
      <c r="K70" s="98"/>
      <c r="L70" s="97"/>
      <c r="M70" s="99"/>
      <c r="N70" s="100"/>
      <c r="O70" s="101"/>
    </row>
    <row r="71" spans="1:15" ht="15.75">
      <c r="A71" s="102" t="s">
        <v>75</v>
      </c>
      <c r="B71" s="17"/>
      <c r="C71" s="116"/>
      <c r="F71" s="13"/>
      <c r="G71" s="10"/>
      <c r="H71" s="14"/>
      <c r="I71" s="22">
        <f>Tableau3[[#This Row],[Stock final]]*Tableau3[[#This Row],[P.U.]]</f>
        <v>0</v>
      </c>
      <c r="J71" s="184"/>
      <c r="K71" s="98"/>
      <c r="L71" s="97"/>
      <c r="M71" s="99"/>
      <c r="N71" s="100"/>
      <c r="O71" s="101"/>
    </row>
    <row r="72" spans="1:15" ht="15.75">
      <c r="A72" s="102" t="s">
        <v>75</v>
      </c>
      <c r="B72" s="17"/>
      <c r="C72" s="116"/>
      <c r="F72" s="13"/>
      <c r="G72" s="10"/>
      <c r="H72" s="14"/>
      <c r="I72" s="22">
        <f>Tableau3[[#This Row],[Stock final]]*Tableau3[[#This Row],[P.U.]]</f>
        <v>0</v>
      </c>
      <c r="J72" s="184"/>
      <c r="K72" s="98"/>
      <c r="L72" s="97"/>
      <c r="M72" s="99"/>
      <c r="N72" s="100"/>
      <c r="O72" s="101"/>
    </row>
    <row r="73" spans="1:15" ht="19.350000000000001" customHeight="1">
      <c r="A73" s="102" t="s">
        <v>75</v>
      </c>
      <c r="B73" s="17"/>
      <c r="C73" s="116"/>
      <c r="F73" s="13"/>
      <c r="G73" s="10"/>
      <c r="H73" s="14"/>
      <c r="I73" s="22">
        <f>Tableau3[[#This Row],[Stock final]]*Tableau3[[#This Row],[P.U.]]</f>
        <v>0</v>
      </c>
      <c r="J73" s="184"/>
      <c r="K73" s="98"/>
      <c r="L73" s="97"/>
      <c r="M73" s="99"/>
      <c r="N73" s="100"/>
      <c r="O73" s="101"/>
    </row>
    <row r="74" spans="1:15" ht="19.350000000000001" customHeight="1">
      <c r="A74" s="102" t="s">
        <v>75</v>
      </c>
      <c r="B74" s="17"/>
      <c r="C74" s="116"/>
      <c r="F74" s="13"/>
      <c r="G74" s="10"/>
      <c r="H74" s="14"/>
      <c r="I74" s="22">
        <f>Tableau3[[#This Row],[Stock final]]*Tableau3[[#This Row],[P.U.]]</f>
        <v>0</v>
      </c>
      <c r="J74" s="184"/>
      <c r="K74" s="98"/>
      <c r="L74" s="97"/>
      <c r="M74" s="99"/>
      <c r="N74" s="100"/>
      <c r="O74" s="101"/>
    </row>
    <row r="75" spans="1:15" ht="15.75">
      <c r="A75" s="102" t="s">
        <v>75</v>
      </c>
      <c r="B75" s="17"/>
      <c r="C75" s="116"/>
      <c r="F75" s="13"/>
      <c r="G75" s="10"/>
      <c r="H75" s="14"/>
      <c r="I75" s="22">
        <f>Tableau3[[#This Row],[Stock final]]*Tableau3[[#This Row],[P.U.]]</f>
        <v>0</v>
      </c>
      <c r="J75" s="184"/>
      <c r="K75" s="98"/>
      <c r="L75" s="97"/>
      <c r="M75" s="99"/>
      <c r="N75" s="100"/>
      <c r="O75" s="101"/>
    </row>
    <row r="76" spans="1:15" ht="15.75">
      <c r="A76" s="102" t="s">
        <v>75</v>
      </c>
      <c r="B76" s="17"/>
      <c r="C76" s="116"/>
      <c r="F76" s="13"/>
      <c r="G76" s="10"/>
      <c r="H76" s="14"/>
      <c r="I76" s="22">
        <f>Tableau3[[#This Row],[Stock final]]*Tableau3[[#This Row],[P.U.]]</f>
        <v>0</v>
      </c>
      <c r="J76" s="184"/>
      <c r="K76" s="98"/>
      <c r="L76" s="97"/>
      <c r="M76" s="99"/>
      <c r="N76" s="100"/>
      <c r="O76" s="101"/>
    </row>
    <row r="77" spans="1:15" ht="15.75">
      <c r="A77" s="102" t="s">
        <v>75</v>
      </c>
      <c r="B77" s="17"/>
      <c r="C77" s="116"/>
      <c r="F77" s="13"/>
      <c r="G77" s="10"/>
      <c r="H77" s="14"/>
      <c r="I77" s="22">
        <f>Tableau3[[#This Row],[Stock final]]*Tableau3[[#This Row],[P.U.]]</f>
        <v>0</v>
      </c>
      <c r="J77" s="184"/>
      <c r="K77" s="98"/>
      <c r="L77" s="97"/>
      <c r="M77" s="99"/>
      <c r="N77" s="100"/>
      <c r="O77" s="101"/>
    </row>
    <row r="78" spans="1:15" ht="15.75">
      <c r="A78" s="102" t="s">
        <v>75</v>
      </c>
      <c r="B78" s="17"/>
      <c r="C78" s="116"/>
      <c r="F78" s="13"/>
      <c r="G78" s="10"/>
      <c r="H78" s="14"/>
      <c r="I78" s="22">
        <f>Tableau3[[#This Row],[Stock final]]*Tableau3[[#This Row],[P.U.]]</f>
        <v>0</v>
      </c>
      <c r="J78" s="183"/>
      <c r="K78" s="98"/>
      <c r="L78" s="97"/>
      <c r="M78" s="99"/>
      <c r="N78" s="100"/>
      <c r="O78" s="101"/>
    </row>
    <row r="79" spans="1:15" ht="15.75">
      <c r="A79" s="102" t="s">
        <v>75</v>
      </c>
      <c r="B79" s="17"/>
      <c r="C79" s="116"/>
      <c r="F79" s="13"/>
      <c r="G79" s="10"/>
      <c r="H79" s="14"/>
      <c r="I79" s="22">
        <f>Tableau3[[#This Row],[Stock final]]*Tableau3[[#This Row],[P.U.]]</f>
        <v>0</v>
      </c>
      <c r="J79" s="183"/>
      <c r="K79" s="98"/>
      <c r="L79" s="97"/>
      <c r="M79" s="99"/>
      <c r="N79" s="100"/>
      <c r="O79" s="101"/>
    </row>
    <row r="80" spans="1:15" ht="15.75">
      <c r="A80" s="102" t="s">
        <v>75</v>
      </c>
      <c r="B80" s="17"/>
      <c r="C80" s="116"/>
      <c r="F80" s="13"/>
      <c r="G80" s="10"/>
      <c r="H80" s="14"/>
      <c r="I80" s="22">
        <f>Tableau3[[#This Row],[Stock final]]*Tableau3[[#This Row],[P.U.]]</f>
        <v>0</v>
      </c>
      <c r="J80" s="183"/>
      <c r="K80" s="98"/>
      <c r="L80" s="97"/>
      <c r="M80" s="99"/>
      <c r="N80" s="100"/>
      <c r="O80" s="101"/>
    </row>
    <row r="81" spans="1:15" ht="15.75">
      <c r="A81" s="102" t="s">
        <v>75</v>
      </c>
      <c r="B81" s="17"/>
      <c r="C81" s="116"/>
      <c r="F81" s="13"/>
      <c r="G81" s="10"/>
      <c r="H81" s="14"/>
      <c r="I81" s="22">
        <f>Tableau3[[#This Row],[Stock final]]*Tableau3[[#This Row],[P.U.]]</f>
        <v>0</v>
      </c>
      <c r="J81" s="183"/>
      <c r="K81" s="98"/>
      <c r="L81" s="97"/>
      <c r="M81" s="99"/>
      <c r="N81" s="100"/>
      <c r="O81" s="101"/>
    </row>
    <row r="82" spans="1:15" ht="15.75">
      <c r="A82" s="102" t="s">
        <v>75</v>
      </c>
      <c r="B82" s="17"/>
      <c r="C82" s="116"/>
      <c r="F82" s="13"/>
      <c r="G82" s="10"/>
      <c r="H82" s="14"/>
      <c r="I82" s="22">
        <f>Tableau3[[#This Row],[Stock final]]*Tableau3[[#This Row],[P.U.]]</f>
        <v>0</v>
      </c>
      <c r="J82" s="183"/>
      <c r="K82" s="83"/>
      <c r="L82" s="82"/>
      <c r="M82" s="84"/>
      <c r="N82" s="85"/>
      <c r="O82" s="86"/>
    </row>
    <row r="83" spans="1:15" ht="15.75">
      <c r="A83" s="102" t="s">
        <v>75</v>
      </c>
      <c r="B83" s="17"/>
      <c r="C83" s="116"/>
      <c r="F83" s="13"/>
      <c r="G83" s="10"/>
      <c r="H83" s="14"/>
      <c r="I83" s="22">
        <f>Tableau3[[#This Row],[Stock final]]*Tableau3[[#This Row],[P.U.]]</f>
        <v>0</v>
      </c>
      <c r="J83" s="183"/>
      <c r="K83" s="69"/>
      <c r="L83" s="70"/>
      <c r="M83" s="73"/>
      <c r="N83" s="74"/>
      <c r="O83" s="75"/>
    </row>
    <row r="84" spans="1:15" ht="15.75">
      <c r="A84" s="102" t="s">
        <v>75</v>
      </c>
      <c r="B84" s="102"/>
      <c r="C84" s="116"/>
      <c r="F84" s="107"/>
      <c r="G84" s="10"/>
      <c r="H84" s="103"/>
      <c r="I84" s="108">
        <f>Tableau3[[#This Row],[Stock final]]*Tableau3[[#This Row],[P.U.]]</f>
        <v>0</v>
      </c>
      <c r="J84" s="183"/>
      <c r="K84" s="182"/>
      <c r="L84" s="70"/>
      <c r="M84" s="73"/>
      <c r="N84" s="74"/>
      <c r="O84" s="74"/>
    </row>
    <row r="85" spans="1:15" ht="15.75">
      <c r="A85" s="102" t="s">
        <v>75</v>
      </c>
      <c r="B85" s="17"/>
      <c r="C85" s="116"/>
      <c r="F85" s="13"/>
      <c r="G85" s="10"/>
      <c r="H85" s="14"/>
      <c r="I85" s="22">
        <f>Tableau3[[#This Row],[Stock final]]*Tableau3[[#This Row],[P.U.]]</f>
        <v>0</v>
      </c>
      <c r="J85" s="183"/>
      <c r="K85" s="38"/>
      <c r="L85" s="18"/>
      <c r="M85" s="30"/>
      <c r="N85" s="19"/>
      <c r="O85" s="19"/>
    </row>
    <row r="86" spans="1:15" ht="15.75">
      <c r="A86" s="102" t="s">
        <v>75</v>
      </c>
      <c r="B86" s="17"/>
      <c r="C86" s="116"/>
      <c r="F86" s="13"/>
      <c r="G86" s="10"/>
      <c r="H86" s="14"/>
      <c r="I86" s="22">
        <f>Tableau3[[#This Row],[Stock final]]*Tableau3[[#This Row],[P.U.]]</f>
        <v>0</v>
      </c>
      <c r="J86" s="183"/>
      <c r="K86"/>
    </row>
    <row r="87" spans="1:15" ht="15.75">
      <c r="A87" s="102" t="s">
        <v>75</v>
      </c>
      <c r="B87" s="17"/>
      <c r="C87" s="116"/>
      <c r="F87" s="13"/>
      <c r="G87" s="10"/>
      <c r="H87" s="14"/>
      <c r="I87" s="22">
        <f>Tableau3[[#This Row],[Stock final]]*Tableau3[[#This Row],[P.U.]]</f>
        <v>0</v>
      </c>
      <c r="J87" s="183"/>
      <c r="K87"/>
    </row>
    <row r="88" spans="1:15" ht="15.75">
      <c r="A88" s="102" t="s">
        <v>75</v>
      </c>
      <c r="B88" s="17"/>
      <c r="C88" s="116"/>
      <c r="F88" s="13"/>
      <c r="G88" s="10"/>
      <c r="H88" s="87"/>
      <c r="I88" s="22">
        <f>Tableau3[[#This Row],[Stock final]]*Tableau3[[#This Row],[P.U.]]</f>
        <v>0</v>
      </c>
      <c r="J88" s="183"/>
      <c r="K88"/>
    </row>
    <row r="89" spans="1:15" ht="15.75">
      <c r="A89" s="102" t="s">
        <v>75</v>
      </c>
      <c r="B89" s="17"/>
      <c r="C89" s="116"/>
      <c r="F89" s="13"/>
      <c r="G89" s="10"/>
      <c r="H89" s="14"/>
      <c r="I89" s="22">
        <f>Tableau3[[#This Row],[Stock final]]*Tableau3[[#This Row],[P.U.]]</f>
        <v>0</v>
      </c>
      <c r="J89" s="183"/>
      <c r="K89"/>
    </row>
    <row r="90" spans="1:15" ht="15.75">
      <c r="A90" s="102" t="s">
        <v>75</v>
      </c>
      <c r="B90" s="17"/>
      <c r="C90" s="116"/>
      <c r="F90" s="13"/>
      <c r="G90" s="10"/>
      <c r="H90" s="14"/>
      <c r="I90" s="22">
        <f>Tableau3[[#This Row],[Stock final]]*Tableau3[[#This Row],[P.U.]]</f>
        <v>0</v>
      </c>
      <c r="J90" s="183"/>
      <c r="K90"/>
    </row>
    <row r="91" spans="1:15" ht="15.75">
      <c r="A91" s="102" t="s">
        <v>75</v>
      </c>
      <c r="B91" s="17"/>
      <c r="C91" s="116"/>
      <c r="F91" s="13"/>
      <c r="G91" s="10"/>
      <c r="H91" s="14"/>
      <c r="I91" s="22">
        <f>Tableau3[[#This Row],[Stock final]]*Tableau3[[#This Row],[P.U.]]</f>
        <v>0</v>
      </c>
      <c r="J91" s="183"/>
      <c r="K91"/>
    </row>
    <row r="92" spans="1:15" ht="15.75">
      <c r="A92" s="102" t="s">
        <v>75</v>
      </c>
      <c r="B92" s="17"/>
      <c r="C92" s="116"/>
      <c r="F92" s="13"/>
      <c r="G92" s="10"/>
      <c r="H92" s="14"/>
      <c r="I92" s="22">
        <f>Tableau3[[#This Row],[Stock final]]*Tableau3[[#This Row],[P.U.]]</f>
        <v>0</v>
      </c>
      <c r="J92" s="183"/>
      <c r="K92"/>
    </row>
    <row r="93" spans="1:15" ht="15.75">
      <c r="A93" s="102" t="s">
        <v>75</v>
      </c>
      <c r="B93" s="17"/>
      <c r="C93" s="116"/>
      <c r="F93" s="13"/>
      <c r="G93" s="10"/>
      <c r="H93" s="14"/>
      <c r="I93" s="22">
        <f>Tableau3[[#This Row],[Stock final]]*Tableau3[[#This Row],[P.U.]]</f>
        <v>0</v>
      </c>
      <c r="J93" s="183"/>
      <c r="K93"/>
    </row>
    <row r="94" spans="1:15" ht="15.75">
      <c r="A94" s="102" t="s">
        <v>75</v>
      </c>
      <c r="B94" s="102"/>
      <c r="C94" s="116"/>
      <c r="F94" s="13"/>
      <c r="G94" s="10"/>
      <c r="H94" s="14"/>
      <c r="I94" s="22">
        <f>Tableau3[[#This Row],[Stock final]]*Tableau3[[#This Row],[P.U.]]</f>
        <v>0</v>
      </c>
      <c r="J94" s="183"/>
      <c r="K94"/>
    </row>
    <row r="95" spans="1:15" ht="15.75">
      <c r="A95" s="102" t="s">
        <v>75</v>
      </c>
      <c r="B95" s="102"/>
      <c r="C95" s="116"/>
      <c r="F95" s="107"/>
      <c r="G95" s="10"/>
      <c r="H95" s="103"/>
      <c r="I95" s="108">
        <f>Tableau3[[#This Row],[Stock final]]*Tableau3[[#This Row],[P.U.]]</f>
        <v>0</v>
      </c>
      <c r="J95" s="183"/>
      <c r="K95"/>
    </row>
    <row r="96" spans="1:15" ht="15.75">
      <c r="A96" s="102" t="s">
        <v>75</v>
      </c>
      <c r="B96" s="102"/>
      <c r="C96" s="116"/>
      <c r="F96" s="107"/>
      <c r="G96" s="10"/>
      <c r="H96" s="103"/>
      <c r="I96" s="108">
        <f>Tableau3[[#This Row],[Stock final]]*Tableau3[[#This Row],[P.U.]]</f>
        <v>0</v>
      </c>
      <c r="J96" s="183"/>
      <c r="K96"/>
    </row>
    <row r="97" spans="1:11" ht="15.75">
      <c r="A97" s="102" t="s">
        <v>75</v>
      </c>
      <c r="B97" s="102"/>
      <c r="C97" s="116"/>
      <c r="F97" s="107"/>
      <c r="G97" s="10"/>
      <c r="H97" s="103"/>
      <c r="I97" s="108">
        <f>Tableau3[[#This Row],[Stock final]]*Tableau3[[#This Row],[P.U.]]</f>
        <v>0</v>
      </c>
      <c r="J97" s="183"/>
      <c r="K97"/>
    </row>
    <row r="98" spans="1:11" ht="15.75">
      <c r="A98" s="142" t="s">
        <v>75</v>
      </c>
      <c r="B98" s="102" t="s">
        <v>112</v>
      </c>
      <c r="C98" s="116">
        <v>32065</v>
      </c>
      <c r="D98" s="11" t="s">
        <v>111</v>
      </c>
      <c r="F98" s="13"/>
      <c r="G98" s="10">
        <v>2</v>
      </c>
      <c r="H98" s="20">
        <v>46</v>
      </c>
      <c r="I98" s="21">
        <f>Tableau3[[#This Row],[Stock final]]*Tableau3[[#This Row],[P.U.]]</f>
        <v>92</v>
      </c>
      <c r="J98" s="183"/>
      <c r="K98"/>
    </row>
    <row r="99" spans="1:11" ht="15.75">
      <c r="A99" s="102" t="s">
        <v>75</v>
      </c>
      <c r="B99" s="109" t="s">
        <v>74</v>
      </c>
      <c r="C99" s="116">
        <v>11773</v>
      </c>
      <c r="D99" s="11" t="s">
        <v>132</v>
      </c>
      <c r="F99" s="13"/>
      <c r="G99" s="10">
        <v>11</v>
      </c>
      <c r="H99" s="20">
        <v>40</v>
      </c>
      <c r="I99" s="21">
        <f>Tableau3[[#This Row],[Stock final]]*Tableau3[[#This Row],[P.U.]]</f>
        <v>440</v>
      </c>
      <c r="J99" s="183"/>
      <c r="K99"/>
    </row>
    <row r="100" spans="1:11" ht="15.75">
      <c r="A100" s="102" t="s">
        <v>75</v>
      </c>
      <c r="B100" s="105" t="s">
        <v>74</v>
      </c>
      <c r="C100" s="116">
        <v>56562</v>
      </c>
      <c r="D100" s="11" t="s">
        <v>76</v>
      </c>
      <c r="F100" s="13"/>
      <c r="G100" s="10"/>
      <c r="H100" s="20">
        <v>9.16</v>
      </c>
      <c r="I100" s="21">
        <f>Tableau3[[#This Row],[Stock final]]*Tableau3[[#This Row],[P.U.]]</f>
        <v>0</v>
      </c>
      <c r="J100" s="183"/>
      <c r="K100"/>
    </row>
    <row r="101" spans="1:11" ht="15.75">
      <c r="A101" s="102" t="s">
        <v>75</v>
      </c>
      <c r="B101" s="109" t="s">
        <v>74</v>
      </c>
      <c r="C101" s="116">
        <v>56561</v>
      </c>
      <c r="D101" s="11" t="s">
        <v>77</v>
      </c>
      <c r="F101" s="13"/>
      <c r="G101" s="10"/>
      <c r="H101" s="20">
        <v>21.43</v>
      </c>
      <c r="I101" s="21">
        <f>Tableau3[[#This Row],[Stock final]]*Tableau3[[#This Row],[P.U.]]</f>
        <v>0</v>
      </c>
      <c r="J101" s="183"/>
      <c r="K101"/>
    </row>
    <row r="102" spans="1:11" ht="15.75">
      <c r="A102" s="102" t="s">
        <v>75</v>
      </c>
      <c r="B102" s="105" t="s">
        <v>74</v>
      </c>
      <c r="C102" s="116">
        <v>11203</v>
      </c>
      <c r="D102" s="11" t="s">
        <v>133</v>
      </c>
      <c r="F102" s="13"/>
      <c r="G102" s="10">
        <v>5</v>
      </c>
      <c r="H102" s="20">
        <v>15.37</v>
      </c>
      <c r="I102" s="21">
        <f>Tableau3[[#This Row],[Stock final]]*Tableau3[[#This Row],[P.U.]]</f>
        <v>76.849999999999994</v>
      </c>
      <c r="J102" s="183"/>
      <c r="K102"/>
    </row>
    <row r="103" spans="1:11" ht="15.75">
      <c r="A103" s="102" t="s">
        <v>75</v>
      </c>
      <c r="B103" s="102" t="s">
        <v>74</v>
      </c>
      <c r="C103" s="116">
        <v>57551</v>
      </c>
      <c r="D103" s="11" t="s">
        <v>134</v>
      </c>
      <c r="F103" s="13"/>
      <c r="G103" s="10">
        <v>0</v>
      </c>
      <c r="H103" s="20">
        <v>77.819999999999993</v>
      </c>
      <c r="I103" s="21">
        <f>Tableau3[[#This Row],[Stock final]]*Tableau3[[#This Row],[P.U.]]</f>
        <v>0</v>
      </c>
      <c r="J103" s="183"/>
      <c r="K103"/>
    </row>
    <row r="104" spans="1:11" ht="15.75">
      <c r="A104" s="102" t="s">
        <v>75</v>
      </c>
      <c r="B104" s="102" t="s">
        <v>74</v>
      </c>
      <c r="C104" s="116">
        <v>57552</v>
      </c>
      <c r="D104" s="11" t="s">
        <v>136</v>
      </c>
      <c r="F104" s="13"/>
      <c r="G104" s="10">
        <v>1</v>
      </c>
      <c r="H104" s="20">
        <v>85.03</v>
      </c>
      <c r="I104" s="21">
        <f>Tableau3[[#This Row],[Stock final]]*Tableau3[[#This Row],[P.U.]]</f>
        <v>85.03</v>
      </c>
      <c r="J104" s="183"/>
      <c r="K104"/>
    </row>
    <row r="105" spans="1:11" ht="15.75">
      <c r="A105" s="102" t="s">
        <v>75</v>
      </c>
      <c r="B105" s="102" t="s">
        <v>74</v>
      </c>
      <c r="C105" s="116">
        <v>57553</v>
      </c>
      <c r="D105" s="11" t="s">
        <v>135</v>
      </c>
      <c r="F105" s="13"/>
      <c r="G105" s="10">
        <v>0</v>
      </c>
      <c r="H105" s="20">
        <v>96.39</v>
      </c>
      <c r="I105" s="21">
        <f>Tableau3[[#This Row],[Stock final]]*Tableau3[[#This Row],[P.U.]]</f>
        <v>0</v>
      </c>
      <c r="J105" s="183"/>
      <c r="K105"/>
    </row>
    <row r="106" spans="1:11" ht="15.75">
      <c r="A106" s="102" t="s">
        <v>75</v>
      </c>
      <c r="B106" s="102" t="s">
        <v>137</v>
      </c>
      <c r="C106" s="116"/>
      <c r="D106" s="11" t="s">
        <v>138</v>
      </c>
      <c r="F106" s="13"/>
      <c r="G106" s="10">
        <v>17</v>
      </c>
      <c r="H106" s="20">
        <v>9</v>
      </c>
      <c r="I106" s="21">
        <f>Tableau3[[#This Row],[Stock final]]*Tableau3[[#This Row],[P.U.]]</f>
        <v>153</v>
      </c>
      <c r="J106" s="183"/>
      <c r="K106"/>
    </row>
    <row r="107" spans="1:11" ht="15.75">
      <c r="A107" s="102"/>
      <c r="B107" s="102" t="s">
        <v>74</v>
      </c>
      <c r="C107" s="116">
        <v>57540</v>
      </c>
      <c r="D107" s="11" t="s">
        <v>1179</v>
      </c>
      <c r="F107" s="107"/>
      <c r="G107" s="10">
        <v>1</v>
      </c>
      <c r="H107" s="103">
        <v>70.14</v>
      </c>
      <c r="I107" s="108">
        <f>Tableau3[[#This Row],[Stock final]]*Tableau3[[#This Row],[P.U.]]</f>
        <v>70.14</v>
      </c>
      <c r="J107" s="183"/>
      <c r="K107"/>
    </row>
    <row r="108" spans="1:11" ht="15.75">
      <c r="A108" s="102"/>
      <c r="B108" s="102" t="s">
        <v>74</v>
      </c>
      <c r="C108" s="116">
        <v>57541</v>
      </c>
      <c r="D108" s="11" t="s">
        <v>1180</v>
      </c>
      <c r="F108" s="107"/>
      <c r="G108" s="10">
        <v>2</v>
      </c>
      <c r="H108" s="103">
        <v>77.78</v>
      </c>
      <c r="I108" s="108">
        <f>Tableau3[[#This Row],[Stock final]]*Tableau3[[#This Row],[P.U.]]</f>
        <v>155.56</v>
      </c>
      <c r="J108" s="183"/>
      <c r="K108"/>
    </row>
    <row r="109" spans="1:11" ht="15.75">
      <c r="A109" s="102"/>
      <c r="B109" s="102"/>
      <c r="C109" s="116"/>
      <c r="F109" s="107"/>
      <c r="G109" s="10"/>
      <c r="H109" s="103"/>
      <c r="I109" s="108">
        <f>Tableau3[[#This Row],[Stock final]]*Tableau3[[#This Row],[P.U.]]</f>
        <v>0</v>
      </c>
      <c r="J109" s="183"/>
      <c r="K109"/>
    </row>
    <row r="110" spans="1:11" ht="15.75">
      <c r="A110" s="102"/>
      <c r="B110" s="102"/>
      <c r="C110" s="116"/>
      <c r="F110" s="107"/>
      <c r="G110" s="10"/>
      <c r="H110" s="103"/>
      <c r="I110" s="108">
        <f>Tableau3[[#This Row],[Stock final]]*Tableau3[[#This Row],[P.U.]]</f>
        <v>0</v>
      </c>
      <c r="J110" s="183"/>
      <c r="K110"/>
    </row>
    <row r="111" spans="1:11" ht="15.75">
      <c r="A111" s="102"/>
      <c r="B111" s="102"/>
      <c r="C111" s="116"/>
      <c r="F111" s="107"/>
      <c r="G111" s="10"/>
      <c r="H111" s="103"/>
      <c r="I111" s="108">
        <f>Tableau3[[#This Row],[Stock final]]*Tableau3[[#This Row],[P.U.]]</f>
        <v>0</v>
      </c>
      <c r="J111" s="183"/>
      <c r="K111"/>
    </row>
    <row r="112" spans="1:11" ht="15.75">
      <c r="A112" s="102"/>
      <c r="B112" s="102"/>
      <c r="C112" s="116"/>
      <c r="F112" s="107"/>
      <c r="G112" s="10"/>
      <c r="H112" s="103"/>
      <c r="I112" s="108">
        <f>Tableau3[[#This Row],[Stock final]]*Tableau3[[#This Row],[P.U.]]</f>
        <v>0</v>
      </c>
      <c r="J112" s="183"/>
      <c r="K112"/>
    </row>
    <row r="113" spans="1:11" ht="15.75">
      <c r="A113" s="102"/>
      <c r="B113" s="102"/>
      <c r="C113" s="116"/>
      <c r="F113" s="107"/>
      <c r="G113" s="10"/>
      <c r="H113" s="103"/>
      <c r="I113" s="108">
        <f>Tableau3[[#This Row],[Stock final]]*Tableau3[[#This Row],[P.U.]]</f>
        <v>0</v>
      </c>
      <c r="J113" s="183"/>
      <c r="K113"/>
    </row>
    <row r="114" spans="1:11" ht="15.75">
      <c r="A114" s="102"/>
      <c r="B114" s="102"/>
      <c r="C114" s="116"/>
      <c r="F114" s="107"/>
      <c r="G114" s="10"/>
      <c r="H114" s="103"/>
      <c r="I114" s="108">
        <f>Tableau3[[#This Row],[Stock final]]*Tableau3[[#This Row],[P.U.]]</f>
        <v>0</v>
      </c>
      <c r="J114" s="183"/>
      <c r="K114"/>
    </row>
    <row r="115" spans="1:11" ht="15.75">
      <c r="A115" s="102"/>
      <c r="B115" s="102"/>
      <c r="C115" s="116"/>
      <c r="F115" s="107"/>
      <c r="G115" s="10"/>
      <c r="H115" s="103"/>
      <c r="I115" s="108">
        <f>Tableau3[[#This Row],[Stock final]]*Tableau3[[#This Row],[P.U.]]</f>
        <v>0</v>
      </c>
      <c r="J115" s="183"/>
      <c r="K115"/>
    </row>
    <row r="116" spans="1:11" ht="15.75">
      <c r="A116" s="102"/>
      <c r="B116" s="102"/>
      <c r="C116" s="116"/>
      <c r="F116" s="107"/>
      <c r="G116" s="10"/>
      <c r="H116" s="103"/>
      <c r="I116" s="108">
        <f>Tableau3[[#This Row],[Stock final]]*Tableau3[[#This Row],[P.U.]]</f>
        <v>0</v>
      </c>
      <c r="J116" s="183"/>
      <c r="K116"/>
    </row>
    <row r="117" spans="1:11" ht="15.75">
      <c r="A117" s="102"/>
      <c r="B117" s="102"/>
      <c r="C117" s="116"/>
      <c r="F117" s="107"/>
      <c r="G117" s="10"/>
      <c r="H117" s="103"/>
      <c r="I117" s="108">
        <f>Tableau3[[#This Row],[Stock final]]*Tableau3[[#This Row],[P.U.]]</f>
        <v>0</v>
      </c>
      <c r="J117" s="183"/>
      <c r="K117"/>
    </row>
    <row r="118" spans="1:11" ht="15.75">
      <c r="A118" s="102"/>
      <c r="B118" s="102"/>
      <c r="C118" s="116"/>
      <c r="F118" s="107"/>
      <c r="G118" s="10"/>
      <c r="H118" s="103"/>
      <c r="I118" s="108">
        <f>Tableau3[[#This Row],[Stock final]]*Tableau3[[#This Row],[P.U.]]</f>
        <v>0</v>
      </c>
      <c r="J118" s="183"/>
      <c r="K118"/>
    </row>
    <row r="119" spans="1:11" ht="15.75">
      <c r="A119" s="102"/>
      <c r="B119" s="102"/>
      <c r="C119" s="116"/>
      <c r="F119" s="107"/>
      <c r="G119" s="10"/>
      <c r="H119" s="103"/>
      <c r="I119" s="108">
        <f>Tableau3[[#This Row],[Stock final]]*Tableau3[[#This Row],[P.U.]]</f>
        <v>0</v>
      </c>
      <c r="J119" s="183"/>
      <c r="K119"/>
    </row>
    <row r="120" spans="1:11" ht="15.75">
      <c r="A120" s="102"/>
      <c r="B120" s="102"/>
      <c r="C120" s="116"/>
      <c r="F120" s="13"/>
      <c r="G120" s="10"/>
      <c r="H120" s="14"/>
      <c r="I120" s="22">
        <f>Tableau3[[#This Row],[Stock final]]*Tableau3[[#This Row],[P.U.]]</f>
        <v>0</v>
      </c>
      <c r="J120" s="183"/>
      <c r="K120"/>
    </row>
    <row r="121" spans="1:11" ht="15.75">
      <c r="A121" s="102"/>
      <c r="B121" s="102"/>
      <c r="C121" s="116"/>
      <c r="F121" s="13"/>
      <c r="G121" s="10"/>
      <c r="H121" s="14"/>
      <c r="I121" s="22">
        <f>Tableau3[[#This Row],[Stock final]]*Tableau3[[#This Row],[P.U.]]</f>
        <v>0</v>
      </c>
      <c r="J121" s="183"/>
      <c r="K121"/>
    </row>
    <row r="122" spans="1:11" ht="15.75">
      <c r="A122" s="102"/>
      <c r="B122" s="102"/>
      <c r="C122" s="116"/>
      <c r="F122" s="13"/>
      <c r="G122" s="10"/>
      <c r="H122" s="14"/>
      <c r="I122" s="22">
        <f>Tableau3[[#This Row],[Stock final]]*Tableau3[[#This Row],[P.U.]]</f>
        <v>0</v>
      </c>
      <c r="J122" s="183"/>
      <c r="K122"/>
    </row>
    <row r="123" spans="1:11" ht="15.75">
      <c r="A123" s="102"/>
      <c r="B123" s="102"/>
      <c r="C123" s="116"/>
      <c r="F123" s="13"/>
      <c r="G123" s="10"/>
      <c r="H123" s="14"/>
      <c r="I123" s="22">
        <f>Tableau3[[#This Row],[Stock final]]*Tableau3[[#This Row],[P.U.]]</f>
        <v>0</v>
      </c>
      <c r="J123" s="183"/>
      <c r="K123"/>
    </row>
    <row r="124" spans="1:11" ht="15.75">
      <c r="A124" s="102"/>
      <c r="B124" s="102"/>
      <c r="C124" s="116"/>
      <c r="F124" s="13"/>
      <c r="G124" s="10"/>
      <c r="H124" s="14"/>
      <c r="I124" s="22">
        <f>Tableau3[[#This Row],[Stock final]]*Tableau3[[#This Row],[P.U.]]</f>
        <v>0</v>
      </c>
      <c r="J124" s="183"/>
      <c r="K124"/>
    </row>
    <row r="125" spans="1:11" ht="15.75">
      <c r="A125" s="102"/>
      <c r="B125" s="102"/>
      <c r="C125" s="116"/>
      <c r="F125" s="13"/>
      <c r="G125" s="10"/>
      <c r="H125" s="14"/>
      <c r="I125" s="22">
        <f>Tableau3[[#This Row],[Stock final]]*Tableau3[[#This Row],[P.U.]]</f>
        <v>0</v>
      </c>
      <c r="J125" s="183"/>
      <c r="K125"/>
    </row>
    <row r="126" spans="1:11" ht="15.75">
      <c r="A126" s="102"/>
      <c r="B126" s="102"/>
      <c r="C126" s="116"/>
      <c r="F126" s="13"/>
      <c r="G126" s="10"/>
      <c r="H126" s="14"/>
      <c r="I126" s="22">
        <f>Tableau3[[#This Row],[Stock final]]*Tableau3[[#This Row],[P.U.]]</f>
        <v>0</v>
      </c>
      <c r="J126" s="183"/>
      <c r="K126"/>
    </row>
    <row r="127" spans="1:11" ht="15.75">
      <c r="A127" s="102"/>
      <c r="B127" s="102"/>
      <c r="C127" s="116"/>
      <c r="F127" s="13"/>
      <c r="G127" s="10"/>
      <c r="H127" s="14"/>
      <c r="I127" s="22">
        <f>Tableau3[[#This Row],[Stock final]]*Tableau3[[#This Row],[P.U.]]</f>
        <v>0</v>
      </c>
      <c r="J127" s="183"/>
      <c r="K127"/>
    </row>
    <row r="128" spans="1:11" ht="15.75">
      <c r="A128" s="102"/>
      <c r="B128" s="102"/>
      <c r="C128" s="116"/>
      <c r="F128" s="13"/>
      <c r="G128" s="10"/>
      <c r="H128" s="14"/>
      <c r="I128" s="22">
        <f>Tableau3[[#This Row],[Stock final]]*Tableau3[[#This Row],[P.U.]]</f>
        <v>0</v>
      </c>
      <c r="J128" s="183"/>
      <c r="K128"/>
    </row>
    <row r="129" spans="1:11" ht="15.75">
      <c r="A129" s="102"/>
      <c r="B129" s="102"/>
      <c r="C129" s="116"/>
      <c r="F129" s="13"/>
      <c r="G129" s="10"/>
      <c r="H129" s="14"/>
      <c r="I129" s="22">
        <f>Tableau3[[#This Row],[Stock final]]*Tableau3[[#This Row],[P.U.]]</f>
        <v>0</v>
      </c>
      <c r="J129" s="183"/>
      <c r="K129"/>
    </row>
    <row r="130" spans="1:11" ht="15.75">
      <c r="A130" s="102"/>
      <c r="B130" s="102"/>
      <c r="C130" s="116"/>
      <c r="F130" s="107"/>
      <c r="G130" s="10"/>
      <c r="H130" s="103"/>
      <c r="I130" s="108">
        <f>Tableau3[[#This Row],[Stock final]]*Tableau3[[#This Row],[P.U.]]</f>
        <v>0</v>
      </c>
      <c r="J130" s="183"/>
      <c r="K130"/>
    </row>
    <row r="131" spans="1:11" ht="15.75">
      <c r="A131" s="102"/>
      <c r="B131" s="102"/>
      <c r="C131" s="116"/>
      <c r="F131" s="107"/>
      <c r="G131" s="10"/>
      <c r="H131" s="103"/>
      <c r="I131" s="108">
        <f>Tableau3[[#This Row],[Stock final]]*Tableau3[[#This Row],[P.U.]]</f>
        <v>0</v>
      </c>
      <c r="J131" s="183"/>
      <c r="K131"/>
    </row>
    <row r="132" spans="1:11" ht="15.75">
      <c r="A132" s="102"/>
      <c r="B132" s="102"/>
      <c r="C132" s="116"/>
      <c r="F132" s="107"/>
      <c r="G132" s="10"/>
      <c r="H132" s="103"/>
      <c r="I132" s="108">
        <f>Tableau3[[#This Row],[Stock final]]*Tableau3[[#This Row],[P.U.]]</f>
        <v>0</v>
      </c>
      <c r="J132" s="183"/>
      <c r="K132"/>
    </row>
    <row r="133" spans="1:11" ht="15.75">
      <c r="A133" s="102"/>
      <c r="B133" s="102"/>
      <c r="C133" s="116"/>
      <c r="F133" s="107"/>
      <c r="G133" s="10"/>
      <c r="H133" s="103"/>
      <c r="I133" s="108">
        <f>Tableau3[[#This Row],[Stock final]]*Tableau3[[#This Row],[P.U.]]</f>
        <v>0</v>
      </c>
      <c r="J133" s="183"/>
      <c r="K133"/>
    </row>
    <row r="134" spans="1:11" ht="15.75">
      <c r="A134" s="102"/>
      <c r="B134" s="102"/>
      <c r="C134" s="116"/>
      <c r="F134" s="107"/>
      <c r="G134" s="10"/>
      <c r="H134" s="103"/>
      <c r="I134" s="108">
        <f>Tableau3[[#This Row],[Stock final]]*Tableau3[[#This Row],[P.U.]]</f>
        <v>0</v>
      </c>
      <c r="J134" s="183"/>
      <c r="K134"/>
    </row>
    <row r="135" spans="1:11" ht="15.75">
      <c r="A135" s="102"/>
      <c r="B135" s="102"/>
      <c r="C135" s="116"/>
      <c r="F135" s="107"/>
      <c r="G135" s="10"/>
      <c r="H135" s="103"/>
      <c r="I135" s="108">
        <f>Tableau3[[#This Row],[Stock final]]*Tableau3[[#This Row],[P.U.]]</f>
        <v>0</v>
      </c>
      <c r="J135" s="183"/>
      <c r="K135"/>
    </row>
    <row r="136" spans="1:11" ht="15.75">
      <c r="A136" s="102"/>
      <c r="B136" s="102"/>
      <c r="C136" s="116"/>
      <c r="F136" s="107"/>
      <c r="G136" s="10"/>
      <c r="H136" s="103"/>
      <c r="I136" s="108">
        <f>Tableau3[[#This Row],[Stock final]]*Tableau3[[#This Row],[P.U.]]</f>
        <v>0</v>
      </c>
      <c r="J136" s="183"/>
      <c r="K136"/>
    </row>
    <row r="137" spans="1:11" ht="15.75">
      <c r="A137" s="102"/>
      <c r="B137" s="102"/>
      <c r="C137" s="116"/>
      <c r="F137" s="107"/>
      <c r="G137" s="10"/>
      <c r="H137" s="103"/>
      <c r="I137" s="108">
        <f>Tableau3[[#This Row],[Stock final]]*Tableau3[[#This Row],[P.U.]]</f>
        <v>0</v>
      </c>
      <c r="J137" s="183"/>
      <c r="K137"/>
    </row>
    <row r="138" spans="1:11" ht="15.75">
      <c r="A138" s="102"/>
      <c r="B138" s="102"/>
      <c r="C138" s="116"/>
      <c r="F138" s="107"/>
      <c r="G138" s="10"/>
      <c r="H138" s="103"/>
      <c r="I138" s="108">
        <f>Tableau3[[#This Row],[Stock final]]*Tableau3[[#This Row],[P.U.]]</f>
        <v>0</v>
      </c>
      <c r="J138" s="183"/>
      <c r="K138"/>
    </row>
    <row r="139" spans="1:11" ht="15.75">
      <c r="A139" s="102"/>
      <c r="B139" s="102"/>
      <c r="C139" s="116"/>
      <c r="F139" s="107"/>
      <c r="G139" s="10"/>
      <c r="H139" s="103"/>
      <c r="I139" s="108">
        <f>Tableau3[[#This Row],[Stock final]]*Tableau3[[#This Row],[P.U.]]</f>
        <v>0</v>
      </c>
      <c r="J139" s="183"/>
      <c r="K139"/>
    </row>
    <row r="140" spans="1:11" ht="15.75">
      <c r="A140" s="102"/>
      <c r="B140" s="102"/>
      <c r="C140" s="116"/>
      <c r="F140" s="107"/>
      <c r="G140" s="10"/>
      <c r="H140" s="103"/>
      <c r="I140" s="108">
        <f>Tableau3[[#This Row],[Stock final]]*Tableau3[[#This Row],[P.U.]]</f>
        <v>0</v>
      </c>
      <c r="J140" s="183"/>
      <c r="K140"/>
    </row>
    <row r="141" spans="1:11" ht="15.75">
      <c r="A141" s="102"/>
      <c r="B141" s="102"/>
      <c r="C141" s="116"/>
      <c r="F141" s="107"/>
      <c r="G141" s="10"/>
      <c r="H141" s="103"/>
      <c r="I141" s="108">
        <f>Tableau3[[#This Row],[Stock final]]*Tableau3[[#This Row],[P.U.]]</f>
        <v>0</v>
      </c>
      <c r="J141" s="183"/>
      <c r="K141"/>
    </row>
    <row r="142" spans="1:11" ht="15.75">
      <c r="A142" s="102"/>
      <c r="B142" s="102"/>
      <c r="C142" s="116"/>
      <c r="F142" s="107"/>
      <c r="G142" s="10"/>
      <c r="H142" s="103"/>
      <c r="I142" s="108">
        <f>Tableau3[[#This Row],[Stock final]]*Tableau3[[#This Row],[P.U.]]</f>
        <v>0</v>
      </c>
      <c r="J142" s="183"/>
      <c r="K142"/>
    </row>
    <row r="143" spans="1:11" ht="15.75">
      <c r="A143" s="102"/>
      <c r="B143" s="102"/>
      <c r="C143" s="116"/>
      <c r="F143" s="107"/>
      <c r="G143" s="10"/>
      <c r="H143" s="103"/>
      <c r="I143" s="108">
        <f>Tableau3[[#This Row],[Stock final]]*Tableau3[[#This Row],[P.U.]]</f>
        <v>0</v>
      </c>
      <c r="J143" s="183"/>
      <c r="K143"/>
    </row>
    <row r="144" spans="1:11" ht="15.75">
      <c r="A144" s="102"/>
      <c r="B144" s="102"/>
      <c r="C144" s="116"/>
      <c r="F144" s="107"/>
      <c r="G144" s="10"/>
      <c r="H144" s="103"/>
      <c r="I144" s="108">
        <f>Tableau3[[#This Row],[Stock final]]*Tableau3[[#This Row],[P.U.]]</f>
        <v>0</v>
      </c>
      <c r="J144" s="183"/>
      <c r="K144"/>
    </row>
    <row r="145" spans="1:11" ht="15.75">
      <c r="A145" s="102"/>
      <c r="B145" s="102"/>
      <c r="C145" s="116"/>
      <c r="F145" s="107"/>
      <c r="G145" s="10"/>
      <c r="H145" s="103"/>
      <c r="I145" s="108">
        <f>Tableau3[[#This Row],[Stock final]]*Tableau3[[#This Row],[P.U.]]</f>
        <v>0</v>
      </c>
      <c r="J145" s="183"/>
      <c r="K145"/>
    </row>
    <row r="146" spans="1:11" ht="15.75">
      <c r="A146" s="102"/>
      <c r="B146" s="102"/>
      <c r="C146" s="116"/>
      <c r="F146" s="107"/>
      <c r="G146" s="10"/>
      <c r="H146" s="103"/>
      <c r="I146" s="108">
        <f>Tableau3[[#This Row],[Stock final]]*Tableau3[[#This Row],[P.U.]]</f>
        <v>0</v>
      </c>
      <c r="J146" s="183"/>
      <c r="K146"/>
    </row>
    <row r="147" spans="1:11" ht="15.75">
      <c r="A147" s="102"/>
      <c r="B147" s="102"/>
      <c r="C147" s="116"/>
      <c r="F147" s="107"/>
      <c r="G147" s="10"/>
      <c r="H147" s="103"/>
      <c r="I147" s="108">
        <f>Tableau3[[#This Row],[Stock final]]*Tableau3[[#This Row],[P.U.]]</f>
        <v>0</v>
      </c>
      <c r="J147" s="183"/>
      <c r="K147"/>
    </row>
    <row r="148" spans="1:11" ht="15.75">
      <c r="A148" s="102"/>
      <c r="B148" s="102"/>
      <c r="C148" s="116"/>
      <c r="F148" s="107"/>
      <c r="G148" s="10"/>
      <c r="H148" s="103"/>
      <c r="I148" s="108">
        <f>Tableau3[[#This Row],[Stock final]]*Tableau3[[#This Row],[P.U.]]</f>
        <v>0</v>
      </c>
      <c r="J148" s="183"/>
      <c r="K148"/>
    </row>
    <row r="149" spans="1:11" ht="15.75">
      <c r="A149" s="102"/>
      <c r="B149" s="102"/>
      <c r="C149" s="116"/>
      <c r="F149" s="107"/>
      <c r="G149" s="10"/>
      <c r="H149" s="103"/>
      <c r="I149" s="108">
        <f>Tableau3[[#This Row],[Stock final]]*Tableau3[[#This Row],[P.U.]]</f>
        <v>0</v>
      </c>
      <c r="J149" s="183"/>
      <c r="K149"/>
    </row>
    <row r="150" spans="1:11" ht="15.75">
      <c r="A150" s="102"/>
      <c r="B150" s="102"/>
      <c r="C150" s="116"/>
      <c r="F150" s="107"/>
      <c r="G150" s="10"/>
      <c r="H150" s="103"/>
      <c r="I150" s="108">
        <f>Tableau3[[#This Row],[Stock final]]*Tableau3[[#This Row],[P.U.]]</f>
        <v>0</v>
      </c>
      <c r="J150" s="183"/>
      <c r="K150"/>
    </row>
    <row r="151" spans="1:11" ht="15.75">
      <c r="A151" s="102"/>
      <c r="B151" s="102"/>
      <c r="C151" s="116"/>
      <c r="F151" s="13"/>
      <c r="G151" s="10"/>
      <c r="H151" s="14"/>
      <c r="I151" s="22">
        <f>Tableau3[[#This Row],[Stock final]]*Tableau3[[#This Row],[P.U.]]</f>
        <v>0</v>
      </c>
      <c r="J151" s="183"/>
      <c r="K151"/>
    </row>
    <row r="152" spans="1:11" ht="15.75">
      <c r="A152" s="102"/>
      <c r="B152" s="102"/>
      <c r="C152" s="116"/>
      <c r="F152" s="13"/>
      <c r="G152" s="10"/>
      <c r="H152" s="14"/>
      <c r="I152" s="22">
        <f>Tableau3[[#This Row],[Stock final]]*Tableau3[[#This Row],[P.U.]]</f>
        <v>0</v>
      </c>
      <c r="J152" s="183"/>
      <c r="K152"/>
    </row>
    <row r="153" spans="1:11" ht="15.75">
      <c r="A153" s="102"/>
      <c r="B153" s="102"/>
      <c r="C153" s="116"/>
      <c r="F153" s="13"/>
      <c r="G153" s="10"/>
      <c r="H153" s="14"/>
      <c r="I153" s="22">
        <f>Tableau3[[#This Row],[Stock final]]*Tableau3[[#This Row],[P.U.]]</f>
        <v>0</v>
      </c>
      <c r="J153" s="183"/>
      <c r="K153"/>
    </row>
    <row r="154" spans="1:11" ht="15.75">
      <c r="A154" s="102"/>
      <c r="B154" s="102"/>
      <c r="C154" s="116"/>
      <c r="F154" s="13"/>
      <c r="G154" s="10"/>
      <c r="H154" s="14"/>
      <c r="I154" s="22">
        <f>Tableau3[[#This Row],[Stock final]]*Tableau3[[#This Row],[P.U.]]</f>
        <v>0</v>
      </c>
      <c r="J154" s="183"/>
      <c r="K154"/>
    </row>
    <row r="155" spans="1:11" ht="15.75">
      <c r="A155" s="102"/>
      <c r="B155" s="102"/>
      <c r="C155" s="116"/>
      <c r="F155" s="13"/>
      <c r="G155" s="10"/>
      <c r="H155" s="14"/>
      <c r="I155" s="22">
        <f>Tableau3[[#This Row],[Stock final]]*Tableau3[[#This Row],[P.U.]]</f>
        <v>0</v>
      </c>
      <c r="J155" s="183"/>
      <c r="K155"/>
    </row>
    <row r="156" spans="1:11" ht="15.75">
      <c r="A156" s="102"/>
      <c r="B156" s="102"/>
      <c r="C156" s="116"/>
      <c r="F156" s="13"/>
      <c r="G156" s="10"/>
      <c r="H156" s="14"/>
      <c r="I156" s="22">
        <f>Tableau3[[#This Row],[Stock final]]*Tableau3[[#This Row],[P.U.]]</f>
        <v>0</v>
      </c>
      <c r="J156" s="183"/>
      <c r="K156"/>
    </row>
    <row r="157" spans="1:11" ht="15.75">
      <c r="A157" s="102"/>
      <c r="B157" s="17"/>
      <c r="C157" s="116"/>
      <c r="F157" s="13"/>
      <c r="G157" s="10"/>
      <c r="H157" s="14"/>
      <c r="I157" s="22">
        <f>Tableau3[[#This Row],[Stock final]]*Tableau3[[#This Row],[P.U.]]</f>
        <v>0</v>
      </c>
      <c r="J157" s="183"/>
      <c r="K157"/>
    </row>
    <row r="158" spans="1:11" ht="15.75">
      <c r="A158" s="109"/>
      <c r="B158" s="143"/>
      <c r="C158" s="116"/>
      <c r="F158" s="41"/>
      <c r="G158" s="10"/>
      <c r="H158" s="42"/>
      <c r="I158" s="43">
        <f>Tableau3[[#This Row],[Stock final]]*Tableau3[[#This Row],[P.U.]]</f>
        <v>0</v>
      </c>
      <c r="J158" s="183"/>
      <c r="K158"/>
    </row>
    <row r="159" spans="1:11" ht="15.75">
      <c r="A159" s="102" t="s">
        <v>100</v>
      </c>
      <c r="B159" s="102" t="s">
        <v>31</v>
      </c>
      <c r="C159" s="116" t="s">
        <v>102</v>
      </c>
      <c r="D159" s="11" t="s">
        <v>93</v>
      </c>
      <c r="F159" s="19"/>
      <c r="G159" s="10">
        <v>33</v>
      </c>
      <c r="H159" s="20">
        <v>0.13</v>
      </c>
      <c r="I159" s="21">
        <f>Tableau3[[#This Row],[Stock final]]*Tableau3[[#This Row],[P.U.]]</f>
        <v>4.29</v>
      </c>
      <c r="J159" s="183"/>
      <c r="K159"/>
    </row>
    <row r="160" spans="1:11" ht="15.75">
      <c r="A160" s="102" t="s">
        <v>100</v>
      </c>
      <c r="B160" s="102" t="s">
        <v>31</v>
      </c>
      <c r="C160" s="116" t="s">
        <v>103</v>
      </c>
      <c r="D160" s="11" t="s">
        <v>94</v>
      </c>
      <c r="F160" s="19"/>
      <c r="G160" s="10">
        <v>82</v>
      </c>
      <c r="H160" s="20">
        <v>0.14000000000000001</v>
      </c>
      <c r="I160" s="21">
        <f>Tableau3[[#This Row],[Stock final]]*Tableau3[[#This Row],[P.U.]]</f>
        <v>11.48</v>
      </c>
      <c r="J160" s="183"/>
      <c r="K160"/>
    </row>
    <row r="161" spans="1:11" ht="15.75">
      <c r="A161" s="102" t="s">
        <v>100</v>
      </c>
      <c r="B161" s="102" t="s">
        <v>31</v>
      </c>
      <c r="C161" s="116" t="s">
        <v>104</v>
      </c>
      <c r="D161" s="11" t="s">
        <v>95</v>
      </c>
      <c r="F161" s="19"/>
      <c r="G161" s="10">
        <v>75</v>
      </c>
      <c r="H161" s="20">
        <v>0.2</v>
      </c>
      <c r="I161" s="21">
        <f>Tableau3[[#This Row],[Stock final]]*Tableau3[[#This Row],[P.U.]]</f>
        <v>15</v>
      </c>
      <c r="J161" s="183"/>
      <c r="K161"/>
    </row>
    <row r="162" spans="1:11" ht="15.75">
      <c r="A162" s="102" t="s">
        <v>100</v>
      </c>
      <c r="B162" s="102" t="s">
        <v>31</v>
      </c>
      <c r="C162" s="116" t="s">
        <v>105</v>
      </c>
      <c r="D162" s="11" t="s">
        <v>96</v>
      </c>
      <c r="F162" s="19"/>
      <c r="G162" s="10">
        <v>26</v>
      </c>
      <c r="H162" s="20">
        <v>0.3</v>
      </c>
      <c r="I162" s="21">
        <f>Tableau3[[#This Row],[Stock final]]*Tableau3[[#This Row],[P.U.]]</f>
        <v>7.8</v>
      </c>
      <c r="J162" s="183"/>
      <c r="K162"/>
    </row>
    <row r="163" spans="1:11" ht="15.75">
      <c r="A163" s="102" t="s">
        <v>100</v>
      </c>
      <c r="B163" s="102" t="s">
        <v>31</v>
      </c>
      <c r="C163" s="116">
        <v>9613</v>
      </c>
      <c r="D163" s="11" t="s">
        <v>97</v>
      </c>
      <c r="F163" s="19"/>
      <c r="G163" s="10">
        <v>9</v>
      </c>
      <c r="H163" s="20">
        <v>1.1000000000000001</v>
      </c>
      <c r="I163" s="21">
        <f>Tableau3[[#This Row],[Stock final]]*Tableau3[[#This Row],[P.U.]]</f>
        <v>9.9</v>
      </c>
      <c r="J163" s="183"/>
      <c r="K163"/>
    </row>
    <row r="164" spans="1:11" ht="15.75">
      <c r="A164" s="102" t="s">
        <v>100</v>
      </c>
      <c r="B164" s="102" t="s">
        <v>31</v>
      </c>
      <c r="C164" s="116">
        <v>6914</v>
      </c>
      <c r="D164" s="11" t="s">
        <v>98</v>
      </c>
      <c r="F164" s="19"/>
      <c r="G164" s="10">
        <v>4</v>
      </c>
      <c r="H164" s="20">
        <v>1.55</v>
      </c>
      <c r="I164" s="21">
        <f>Tableau3[[#This Row],[Stock final]]*Tableau3[[#This Row],[P.U.]]</f>
        <v>6.2</v>
      </c>
      <c r="J164" s="183"/>
      <c r="K164"/>
    </row>
    <row r="165" spans="1:11" ht="15.75">
      <c r="A165" s="102" t="s">
        <v>100</v>
      </c>
      <c r="B165" s="102" t="s">
        <v>31</v>
      </c>
      <c r="C165" s="116">
        <v>6915</v>
      </c>
      <c r="D165" s="11" t="s">
        <v>99</v>
      </c>
      <c r="F165" s="19"/>
      <c r="G165" s="10">
        <v>6</v>
      </c>
      <c r="H165" s="20">
        <v>1.72</v>
      </c>
      <c r="I165" s="21">
        <f>Tableau3[[#This Row],[Stock final]]*Tableau3[[#This Row],[P.U.]]</f>
        <v>10.32</v>
      </c>
      <c r="J165" s="183"/>
      <c r="K165"/>
    </row>
    <row r="166" spans="1:11" ht="15.75">
      <c r="A166" s="102" t="s">
        <v>100</v>
      </c>
      <c r="B166" s="102" t="s">
        <v>31</v>
      </c>
      <c r="C166" s="116"/>
      <c r="D166" s="11" t="s">
        <v>116</v>
      </c>
      <c r="F166" s="19"/>
      <c r="G166" s="10">
        <v>3</v>
      </c>
      <c r="H166" s="20">
        <v>1.9</v>
      </c>
      <c r="I166" s="21">
        <f>Tableau3[[#This Row],[Stock final]]*Tableau3[[#This Row],[P.U.]]</f>
        <v>5.6999999999999993</v>
      </c>
      <c r="J166" s="183"/>
      <c r="K166"/>
    </row>
    <row r="167" spans="1:11" ht="15.75">
      <c r="A167" s="102"/>
      <c r="B167" s="102" t="s">
        <v>1181</v>
      </c>
      <c r="C167" s="116" t="s">
        <v>1182</v>
      </c>
      <c r="D167" s="11" t="s">
        <v>1183</v>
      </c>
      <c r="F167" s="107"/>
      <c r="G167" s="10"/>
      <c r="H167" s="103"/>
      <c r="I167" s="108">
        <f>Tableau3[[#This Row],[Stock final]]*Tableau3[[#This Row],[P.U.]]</f>
        <v>0</v>
      </c>
      <c r="J167" s="183"/>
      <c r="K167"/>
    </row>
    <row r="168" spans="1:11" ht="15.75">
      <c r="A168" s="102" t="s">
        <v>100</v>
      </c>
      <c r="B168" s="102" t="s">
        <v>1184</v>
      </c>
      <c r="C168" s="116">
        <v>43553</v>
      </c>
      <c r="D168" s="11" t="s">
        <v>1185</v>
      </c>
      <c r="F168" s="41"/>
      <c r="G168" s="10">
        <v>2</v>
      </c>
      <c r="H168" s="42">
        <v>11.78</v>
      </c>
      <c r="I168" s="43">
        <f>Tableau3[[#This Row],[Stock final]]*Tableau3[[#This Row],[P.U.]]</f>
        <v>23.56</v>
      </c>
      <c r="J168" s="183"/>
      <c r="K168"/>
    </row>
    <row r="169" spans="1:11" ht="15.75">
      <c r="A169" s="102"/>
      <c r="B169" s="102" t="s">
        <v>1184</v>
      </c>
      <c r="C169" s="116">
        <v>43512</v>
      </c>
      <c r="D169" s="11" t="s">
        <v>1186</v>
      </c>
      <c r="F169" s="107"/>
      <c r="G169" s="10">
        <v>2</v>
      </c>
      <c r="H169" s="103">
        <v>14</v>
      </c>
      <c r="I169" s="108">
        <f>Tableau3[[#This Row],[Stock final]]*Tableau3[[#This Row],[P.U.]]</f>
        <v>28</v>
      </c>
      <c r="J169" s="183"/>
      <c r="K169"/>
    </row>
    <row r="170" spans="1:11" ht="15.75">
      <c r="A170" s="102"/>
      <c r="B170" s="102" t="s">
        <v>1184</v>
      </c>
      <c r="C170" s="116">
        <v>43551</v>
      </c>
      <c r="D170" s="11" t="s">
        <v>1187</v>
      </c>
      <c r="F170" s="107"/>
      <c r="G170" s="10">
        <v>2</v>
      </c>
      <c r="H170" s="103">
        <v>8</v>
      </c>
      <c r="I170" s="108">
        <f>Tableau3[[#This Row],[Stock final]]*Tableau3[[#This Row],[P.U.]]</f>
        <v>16</v>
      </c>
      <c r="J170" s="183"/>
      <c r="K170"/>
    </row>
    <row r="171" spans="1:11" ht="15.75">
      <c r="A171" s="102"/>
      <c r="B171" s="102" t="s">
        <v>1188</v>
      </c>
      <c r="C171" s="116" t="s">
        <v>1189</v>
      </c>
      <c r="D171" s="11" t="s">
        <v>1190</v>
      </c>
      <c r="F171" s="107"/>
      <c r="G171" s="10">
        <v>5</v>
      </c>
      <c r="H171" s="103">
        <v>14</v>
      </c>
      <c r="I171" s="108">
        <f>Tableau3[[#This Row],[Stock final]]*Tableau3[[#This Row],[P.U.]]</f>
        <v>70</v>
      </c>
      <c r="J171" s="183"/>
      <c r="K171"/>
    </row>
    <row r="172" spans="1:11" ht="15.75">
      <c r="A172" s="102"/>
      <c r="B172" s="102" t="s">
        <v>1188</v>
      </c>
      <c r="C172" s="116" t="s">
        <v>1191</v>
      </c>
      <c r="D172" s="11" t="s">
        <v>1192</v>
      </c>
      <c r="F172" s="107"/>
      <c r="G172" s="10">
        <v>1</v>
      </c>
      <c r="H172" s="103">
        <v>18</v>
      </c>
      <c r="I172" s="108">
        <f>Tableau3[[#This Row],[Stock final]]*Tableau3[[#This Row],[P.U.]]</f>
        <v>18</v>
      </c>
      <c r="J172" s="183"/>
      <c r="K172"/>
    </row>
    <row r="173" spans="1:11" ht="15.75">
      <c r="A173" s="102"/>
      <c r="B173" s="102" t="s">
        <v>101</v>
      </c>
      <c r="C173" s="116" t="s">
        <v>1193</v>
      </c>
      <c r="D173" s="11" t="s">
        <v>1194</v>
      </c>
      <c r="F173" s="107"/>
      <c r="G173" s="10">
        <v>1</v>
      </c>
      <c r="H173" s="103">
        <v>29</v>
      </c>
      <c r="I173" s="108">
        <f>Tableau3[[#This Row],[Stock final]]*Tableau3[[#This Row],[P.U.]]</f>
        <v>29</v>
      </c>
      <c r="J173" s="183"/>
      <c r="K173"/>
    </row>
    <row r="174" spans="1:11" ht="15.75">
      <c r="A174" s="102"/>
      <c r="B174" s="102" t="s">
        <v>101</v>
      </c>
      <c r="C174" s="116" t="s">
        <v>1195</v>
      </c>
      <c r="D174" s="11" t="s">
        <v>1196</v>
      </c>
      <c r="F174" s="107"/>
      <c r="G174" s="10">
        <v>3</v>
      </c>
      <c r="H174" s="103">
        <v>30</v>
      </c>
      <c r="I174" s="108">
        <f>Tableau3[[#This Row],[Stock final]]*Tableau3[[#This Row],[P.U.]]</f>
        <v>90</v>
      </c>
      <c r="J174" s="183"/>
      <c r="K174"/>
    </row>
    <row r="175" spans="1:11" ht="15.75">
      <c r="A175" s="102"/>
      <c r="B175" s="102" t="s">
        <v>1197</v>
      </c>
      <c r="C175" s="116">
        <v>26000034</v>
      </c>
      <c r="D175" s="11" t="s">
        <v>1474</v>
      </c>
      <c r="F175" s="107"/>
      <c r="G175" s="10">
        <v>14</v>
      </c>
      <c r="H175" s="103">
        <v>1.96</v>
      </c>
      <c r="I175" s="108">
        <f>Tableau3[[#This Row],[Stock final]]*Tableau3[[#This Row],[P.U.]]</f>
        <v>27.439999999999998</v>
      </c>
      <c r="J175" s="183"/>
      <c r="K175"/>
    </row>
    <row r="176" spans="1:11" ht="15.75">
      <c r="A176" s="102"/>
      <c r="B176" s="102" t="s">
        <v>1197</v>
      </c>
      <c r="C176" s="116">
        <v>2514809</v>
      </c>
      <c r="D176" s="11" t="s">
        <v>1198</v>
      </c>
      <c r="F176" s="107"/>
      <c r="G176" s="10">
        <v>57</v>
      </c>
      <c r="H176" s="103">
        <v>1.24</v>
      </c>
      <c r="I176" s="108">
        <f>Tableau3[[#This Row],[Stock final]]*Tableau3[[#This Row],[P.U.]]</f>
        <v>70.679999999999993</v>
      </c>
      <c r="J176" s="183"/>
      <c r="K176"/>
    </row>
    <row r="177" spans="1:11" ht="15.75">
      <c r="A177" s="102"/>
      <c r="B177" s="102" t="s">
        <v>1197</v>
      </c>
      <c r="C177" s="116">
        <v>50001</v>
      </c>
      <c r="D177" s="11" t="s">
        <v>1199</v>
      </c>
      <c r="F177" s="107"/>
      <c r="G177" s="10">
        <v>103</v>
      </c>
      <c r="H177" s="103">
        <v>1</v>
      </c>
      <c r="I177" s="108">
        <f>Tableau3[[#This Row],[Stock final]]*Tableau3[[#This Row],[P.U.]]</f>
        <v>103</v>
      </c>
      <c r="J177" s="183"/>
      <c r="K177"/>
    </row>
    <row r="178" spans="1:11" ht="15.75">
      <c r="A178" s="102"/>
      <c r="B178" s="102" t="s">
        <v>1197</v>
      </c>
      <c r="C178" s="116">
        <v>26000045</v>
      </c>
      <c r="D178" s="11" t="s">
        <v>1200</v>
      </c>
      <c r="F178" s="107"/>
      <c r="G178" s="10">
        <v>19</v>
      </c>
      <c r="H178" s="103">
        <v>1.96</v>
      </c>
      <c r="I178" s="108">
        <f>Tableau3[[#This Row],[Stock final]]*Tableau3[[#This Row],[P.U.]]</f>
        <v>37.24</v>
      </c>
      <c r="J178" s="183"/>
      <c r="K178"/>
    </row>
    <row r="179" spans="1:11" ht="15.75">
      <c r="A179" s="102"/>
      <c r="B179" s="102" t="s">
        <v>1475</v>
      </c>
      <c r="C179" s="116">
        <v>525709</v>
      </c>
      <c r="D179" s="11" t="s">
        <v>1476</v>
      </c>
      <c r="F179" s="107"/>
      <c r="G179" s="10">
        <v>8</v>
      </c>
      <c r="H179" s="103">
        <v>9.93</v>
      </c>
      <c r="I179" s="108">
        <f>Tableau3[[#This Row],[Stock final]]*Tableau3[[#This Row],[P.U.]]</f>
        <v>79.44</v>
      </c>
      <c r="J179" s="183"/>
      <c r="K179"/>
    </row>
    <row r="180" spans="1:11" ht="15.75">
      <c r="A180" s="102"/>
      <c r="B180" s="102"/>
      <c r="C180" s="116"/>
      <c r="F180" s="107"/>
      <c r="G180" s="10"/>
      <c r="H180" s="103"/>
      <c r="I180" s="108">
        <f>Tableau3[[#This Row],[Stock final]]*Tableau3[[#This Row],[P.U.]]</f>
        <v>0</v>
      </c>
      <c r="J180" s="183"/>
      <c r="K180"/>
    </row>
    <row r="181" spans="1:11" ht="15.75">
      <c r="A181" s="102"/>
      <c r="B181" s="102"/>
      <c r="C181" s="116"/>
      <c r="F181" s="107"/>
      <c r="G181" s="10"/>
      <c r="H181" s="103"/>
      <c r="I181" s="108">
        <f>Tableau3[[#This Row],[Stock final]]*Tableau3[[#This Row],[P.U.]]</f>
        <v>0</v>
      </c>
      <c r="J181" s="183"/>
      <c r="K181"/>
    </row>
    <row r="182" spans="1:11" ht="15.75">
      <c r="A182" s="102"/>
      <c r="B182" s="102"/>
      <c r="C182" s="116"/>
      <c r="F182" s="107"/>
      <c r="G182" s="10"/>
      <c r="H182" s="103"/>
      <c r="I182" s="108">
        <f>Tableau3[[#This Row],[Stock final]]*Tableau3[[#This Row],[P.U.]]</f>
        <v>0</v>
      </c>
      <c r="J182" s="183"/>
      <c r="K182"/>
    </row>
    <row r="183" spans="1:11" ht="15.75">
      <c r="A183" s="102"/>
      <c r="B183" s="102"/>
      <c r="C183" s="116"/>
      <c r="F183" s="107"/>
      <c r="G183" s="10"/>
      <c r="H183" s="103"/>
      <c r="I183" s="108">
        <f>Tableau3[[#This Row],[Stock final]]*Tableau3[[#This Row],[P.U.]]</f>
        <v>0</v>
      </c>
      <c r="J183" s="183"/>
      <c r="K183"/>
    </row>
    <row r="184" spans="1:11" ht="15.75">
      <c r="A184" s="102"/>
      <c r="B184" s="102"/>
      <c r="C184" s="116"/>
      <c r="F184" s="107"/>
      <c r="G184" s="10"/>
      <c r="H184" s="103"/>
      <c r="I184" s="108">
        <f>Tableau3[[#This Row],[Stock final]]*Tableau3[[#This Row],[P.U.]]</f>
        <v>0</v>
      </c>
      <c r="J184" s="183"/>
      <c r="K184"/>
    </row>
    <row r="185" spans="1:11" ht="15.75">
      <c r="A185" s="102"/>
      <c r="B185" s="102"/>
      <c r="C185" s="116"/>
      <c r="F185" s="107"/>
      <c r="G185" s="10"/>
      <c r="H185" s="103"/>
      <c r="I185" s="108">
        <f>Tableau3[[#This Row],[Stock final]]*Tableau3[[#This Row],[P.U.]]</f>
        <v>0</v>
      </c>
      <c r="J185" s="183"/>
      <c r="K185"/>
    </row>
    <row r="186" spans="1:11" ht="15.75">
      <c r="A186" s="102"/>
      <c r="B186" s="40"/>
      <c r="C186" s="116"/>
      <c r="F186" s="41"/>
      <c r="G186" s="10"/>
      <c r="H186" s="42"/>
      <c r="I186" s="43">
        <f>Tableau3[[#This Row],[Stock final]]*Tableau3[[#This Row],[P.U.]]</f>
        <v>0</v>
      </c>
      <c r="J186" s="183"/>
      <c r="K186"/>
    </row>
    <row r="187" spans="1:11" ht="15.75">
      <c r="A187" s="102"/>
      <c r="B187" s="40"/>
      <c r="C187" s="116"/>
      <c r="F187" s="41"/>
      <c r="G187" s="10"/>
      <c r="H187" s="42"/>
      <c r="I187" s="43">
        <f>Tableau3[[#This Row],[Stock final]]*Tableau3[[#This Row],[P.U.]]</f>
        <v>0</v>
      </c>
      <c r="J187" s="183"/>
      <c r="K187"/>
    </row>
    <row r="188" spans="1:11" ht="15.75">
      <c r="A188" s="102"/>
      <c r="B188" s="40"/>
      <c r="C188" s="116"/>
      <c r="F188" s="41"/>
      <c r="G188" s="10"/>
      <c r="H188" s="42"/>
      <c r="I188" s="43">
        <f>Tableau3[[#This Row],[Stock final]]*Tableau3[[#This Row],[P.U.]]</f>
        <v>0</v>
      </c>
      <c r="J188" s="183"/>
      <c r="K188"/>
    </row>
    <row r="189" spans="1:11" ht="15.75">
      <c r="A189" s="102"/>
      <c r="B189" s="40"/>
      <c r="C189" s="116"/>
      <c r="F189" s="41"/>
      <c r="G189" s="10"/>
      <c r="H189" s="42"/>
      <c r="I189" s="43">
        <f>Tableau3[[#This Row],[Stock final]]*Tableau3[[#This Row],[P.U.]]</f>
        <v>0</v>
      </c>
      <c r="J189" s="183"/>
      <c r="K189"/>
    </row>
    <row r="190" spans="1:11" ht="15.75">
      <c r="A190" s="102"/>
      <c r="B190" s="40"/>
      <c r="C190" s="116"/>
      <c r="F190" s="41"/>
      <c r="G190" s="10"/>
      <c r="H190" s="42"/>
      <c r="I190" s="43">
        <f>Tableau3[[#This Row],[Stock final]]*Tableau3[[#This Row],[P.U.]]</f>
        <v>0</v>
      </c>
      <c r="J190" s="183"/>
      <c r="K190"/>
    </row>
    <row r="191" spans="1:11" ht="15.75">
      <c r="A191" s="102"/>
      <c r="B191" s="40"/>
      <c r="C191" s="116"/>
      <c r="F191" s="41"/>
      <c r="G191" s="10"/>
      <c r="H191" s="42"/>
      <c r="I191" s="43">
        <f>Tableau3[[#This Row],[Stock final]]*Tableau3[[#This Row],[P.U.]]</f>
        <v>0</v>
      </c>
      <c r="J191" s="183"/>
      <c r="K191"/>
    </row>
    <row r="192" spans="1:11" ht="15.75">
      <c r="A192" s="102"/>
      <c r="B192" s="40"/>
      <c r="C192" s="116"/>
      <c r="F192" s="41"/>
      <c r="G192" s="10"/>
      <c r="H192" s="42"/>
      <c r="I192" s="43">
        <f>Tableau3[[#This Row],[Stock final]]*Tableau3[[#This Row],[P.U.]]</f>
        <v>0</v>
      </c>
      <c r="J192" s="183"/>
      <c r="K192"/>
    </row>
    <row r="193" spans="1:11" ht="15.75">
      <c r="A193" s="102"/>
      <c r="B193" s="40"/>
      <c r="C193" s="116"/>
      <c r="F193" s="41"/>
      <c r="G193" s="10"/>
      <c r="H193" s="42"/>
      <c r="I193" s="43">
        <f>Tableau3[[#This Row],[Stock final]]*Tableau3[[#This Row],[P.U.]]</f>
        <v>0</v>
      </c>
      <c r="J193" s="183"/>
      <c r="K193"/>
    </row>
    <row r="194" spans="1:11" ht="15.75">
      <c r="A194" s="102"/>
      <c r="B194" s="40"/>
      <c r="C194" s="116"/>
      <c r="F194" s="41"/>
      <c r="G194" s="10"/>
      <c r="H194" s="42"/>
      <c r="I194" s="43">
        <f>Tableau3[[#This Row],[Stock final]]*Tableau3[[#This Row],[P.U.]]</f>
        <v>0</v>
      </c>
      <c r="J194" s="183"/>
      <c r="K194"/>
    </row>
    <row r="195" spans="1:11" ht="15.75">
      <c r="A195" s="102"/>
      <c r="B195" s="40"/>
      <c r="C195" s="116"/>
      <c r="F195" s="41"/>
      <c r="G195" s="10"/>
      <c r="H195" s="42"/>
      <c r="I195" s="43">
        <f>Tableau3[[#This Row],[Stock final]]*Tableau3[[#This Row],[P.U.]]</f>
        <v>0</v>
      </c>
      <c r="J195" s="183"/>
      <c r="K195"/>
    </row>
    <row r="196" spans="1:11" ht="19.350000000000001" customHeight="1">
      <c r="A196" s="109"/>
      <c r="B196" s="109"/>
      <c r="C196" s="116"/>
      <c r="F196" s="19"/>
      <c r="G196" s="10"/>
      <c r="H196" s="87"/>
      <c r="I196" s="21">
        <f>Tableau3[[#This Row],[Stock final]]*Tableau3[[#This Row],[P.U.]]</f>
        <v>0</v>
      </c>
      <c r="J196" s="183"/>
      <c r="K196"/>
    </row>
    <row r="197" spans="1:11" ht="19.350000000000001" customHeight="1">
      <c r="A197" s="102"/>
      <c r="B197" s="102"/>
      <c r="C197" s="116"/>
      <c r="F197" s="19"/>
      <c r="G197" s="10"/>
      <c r="H197" s="20"/>
      <c r="I197" s="21">
        <f>Tableau3[[#This Row],[Stock final]]*Tableau3[[#This Row],[P.U.]]</f>
        <v>0</v>
      </c>
      <c r="J197" s="183"/>
      <c r="K197"/>
    </row>
    <row r="198" spans="1:11" ht="19.350000000000001" customHeight="1">
      <c r="A198" s="102"/>
      <c r="B198" s="102"/>
      <c r="C198" s="116"/>
      <c r="F198" s="19"/>
      <c r="G198" s="10"/>
      <c r="H198" s="20"/>
      <c r="I198" s="21">
        <f>Tableau3[[#This Row],[Stock final]]*Tableau3[[#This Row],[P.U.]]</f>
        <v>0</v>
      </c>
      <c r="J198" s="183"/>
      <c r="K198"/>
    </row>
    <row r="199" spans="1:11" ht="19.350000000000001" customHeight="1">
      <c r="A199" s="102"/>
      <c r="B199" s="102"/>
      <c r="C199" s="116"/>
      <c r="F199" s="19"/>
      <c r="G199" s="10"/>
      <c r="H199" s="20"/>
      <c r="I199" s="21">
        <f>Tableau3[[#This Row],[Stock final]]*Tableau3[[#This Row],[P.U.]]</f>
        <v>0</v>
      </c>
      <c r="J199" s="183"/>
      <c r="K199"/>
    </row>
    <row r="200" spans="1:11" ht="19.350000000000001" customHeight="1">
      <c r="A200" s="102"/>
      <c r="B200" s="102"/>
      <c r="C200" s="117"/>
      <c r="F200" s="19"/>
      <c r="G200" s="10"/>
      <c r="H200" s="20"/>
      <c r="I200" s="21">
        <f>Tableau3[[#This Row],[Stock final]]*Tableau3[[#This Row],[P.U.]]</f>
        <v>0</v>
      </c>
      <c r="J200" s="183"/>
      <c r="K200"/>
    </row>
    <row r="201" spans="1:11" ht="19.350000000000001" customHeight="1">
      <c r="A201" s="102"/>
      <c r="B201" s="102"/>
      <c r="C201" s="117"/>
      <c r="F201" s="19"/>
      <c r="G201" s="10"/>
      <c r="H201" s="20"/>
      <c r="I201" s="21">
        <f>Tableau3[[#This Row],[Stock final]]*Tableau3[[#This Row],[P.U.]]</f>
        <v>0</v>
      </c>
      <c r="J201" s="183"/>
      <c r="K201"/>
    </row>
    <row r="202" spans="1:11" ht="19.350000000000001" customHeight="1">
      <c r="A202" s="102"/>
      <c r="B202" s="102"/>
      <c r="C202" s="117"/>
      <c r="F202" s="19"/>
      <c r="G202" s="10"/>
      <c r="H202" s="20"/>
      <c r="I202" s="21">
        <f>Tableau3[[#This Row],[Stock final]]*Tableau3[[#This Row],[P.U.]]</f>
        <v>0</v>
      </c>
      <c r="J202" s="183"/>
      <c r="K202"/>
    </row>
    <row r="203" spans="1:11" ht="19.350000000000001" customHeight="1">
      <c r="A203" s="102"/>
      <c r="B203" s="102"/>
      <c r="C203" s="117"/>
      <c r="F203" s="19"/>
      <c r="G203" s="10"/>
      <c r="H203" s="20"/>
      <c r="I203" s="21">
        <f>Tableau3[[#This Row],[Stock final]]*Tableau3[[#This Row],[P.U.]]</f>
        <v>0</v>
      </c>
      <c r="J203" s="183"/>
      <c r="K203"/>
    </row>
    <row r="204" spans="1:11" ht="19.350000000000001" customHeight="1">
      <c r="A204" s="102"/>
      <c r="B204" s="102"/>
      <c r="C204" s="117"/>
      <c r="F204" s="19"/>
      <c r="G204" s="10"/>
      <c r="H204" s="20"/>
      <c r="I204" s="21">
        <f>Tableau3[[#This Row],[Stock final]]*Tableau3[[#This Row],[P.U.]]</f>
        <v>0</v>
      </c>
      <c r="J204" s="183"/>
      <c r="K204"/>
    </row>
    <row r="205" spans="1:11" ht="19.350000000000001" customHeight="1">
      <c r="A205" s="102"/>
      <c r="B205" s="102"/>
      <c r="C205" s="117"/>
      <c r="F205" s="19"/>
      <c r="G205" s="10"/>
      <c r="H205" s="20"/>
      <c r="I205" s="21">
        <f>Tableau3[[#This Row],[Stock final]]*Tableau3[[#This Row],[P.U.]]</f>
        <v>0</v>
      </c>
      <c r="J205" s="183"/>
      <c r="K205"/>
    </row>
    <row r="206" spans="1:11" ht="19.350000000000001" customHeight="1">
      <c r="A206" s="102"/>
      <c r="B206" s="102"/>
      <c r="C206" s="117"/>
      <c r="F206" s="19"/>
      <c r="G206" s="10"/>
      <c r="H206" s="20"/>
      <c r="I206" s="21">
        <f>Tableau3[[#This Row],[Stock final]]*Tableau3[[#This Row],[P.U.]]</f>
        <v>0</v>
      </c>
      <c r="J206" s="183"/>
      <c r="K206"/>
    </row>
    <row r="207" spans="1:11" ht="19.350000000000001" customHeight="1">
      <c r="A207" s="102"/>
      <c r="B207" s="102"/>
      <c r="C207" s="117"/>
      <c r="F207" s="19"/>
      <c r="G207" s="10"/>
      <c r="H207" s="20"/>
      <c r="I207" s="21">
        <f>Tableau3[[#This Row],[Stock final]]*Tableau3[[#This Row],[P.U.]]</f>
        <v>0</v>
      </c>
      <c r="J207" s="183"/>
      <c r="K207"/>
    </row>
    <row r="208" spans="1:11" ht="19.350000000000001" customHeight="1">
      <c r="A208" s="102"/>
      <c r="B208" s="102"/>
      <c r="C208" s="117"/>
      <c r="F208" s="19"/>
      <c r="G208" s="10"/>
      <c r="H208" s="20"/>
      <c r="I208" s="21">
        <f>Tableau3[[#This Row],[Stock final]]*Tableau3[[#This Row],[P.U.]]</f>
        <v>0</v>
      </c>
      <c r="J208" s="183"/>
      <c r="K208"/>
    </row>
    <row r="209" spans="1:11" ht="19.350000000000001" customHeight="1">
      <c r="A209" s="102"/>
      <c r="B209" s="102"/>
      <c r="C209" s="117"/>
      <c r="F209" s="19"/>
      <c r="G209" s="10"/>
      <c r="H209" s="20"/>
      <c r="I209" s="21">
        <f>Tableau3[[#This Row],[Stock final]]*Tableau3[[#This Row],[P.U.]]</f>
        <v>0</v>
      </c>
      <c r="J209" s="183"/>
      <c r="K209"/>
    </row>
    <row r="210" spans="1:11" ht="19.350000000000001" customHeight="1">
      <c r="A210" s="102"/>
      <c r="B210" s="102"/>
      <c r="C210" s="117"/>
      <c r="F210" s="19"/>
      <c r="G210" s="10"/>
      <c r="H210" s="20"/>
      <c r="I210" s="21">
        <f>Tableau3[[#This Row],[Stock final]]*Tableau3[[#This Row],[P.U.]]</f>
        <v>0</v>
      </c>
      <c r="J210" s="183"/>
      <c r="K210"/>
    </row>
    <row r="211" spans="1:11" ht="19.350000000000001" customHeight="1">
      <c r="A211" s="102"/>
      <c r="B211" s="102"/>
      <c r="C211" s="117"/>
      <c r="F211" s="19"/>
      <c r="G211" s="10"/>
      <c r="H211" s="20"/>
      <c r="I211" s="21">
        <f>Tableau3[[#This Row],[Stock final]]*Tableau3[[#This Row],[P.U.]]</f>
        <v>0</v>
      </c>
      <c r="J211" s="183"/>
      <c r="K211"/>
    </row>
    <row r="212" spans="1:11" ht="19.350000000000001" customHeight="1">
      <c r="A212" s="102"/>
      <c r="B212" s="102"/>
      <c r="C212" s="117"/>
      <c r="F212" s="19"/>
      <c r="G212" s="10"/>
      <c r="H212" s="20"/>
      <c r="I212" s="21">
        <f>Tableau3[[#This Row],[Stock final]]*Tableau3[[#This Row],[P.U.]]</f>
        <v>0</v>
      </c>
      <c r="J212" s="183"/>
      <c r="K212"/>
    </row>
    <row r="213" spans="1:11" ht="19.350000000000001" customHeight="1">
      <c r="A213" s="102"/>
      <c r="B213" s="102"/>
      <c r="C213" s="117"/>
      <c r="F213" s="19"/>
      <c r="G213" s="10"/>
      <c r="H213" s="20"/>
      <c r="I213" s="21">
        <f>Tableau3[[#This Row],[Stock final]]*Tableau3[[#This Row],[P.U.]]</f>
        <v>0</v>
      </c>
      <c r="J213" s="183"/>
      <c r="K213"/>
    </row>
    <row r="214" spans="1:11" ht="19.350000000000001" customHeight="1">
      <c r="A214" s="102"/>
      <c r="B214" s="102"/>
      <c r="C214" s="117"/>
      <c r="F214" s="19"/>
      <c r="G214" s="10"/>
      <c r="H214" s="20"/>
      <c r="I214" s="21">
        <f>Tableau3[[#This Row],[Stock final]]*Tableau3[[#This Row],[P.U.]]</f>
        <v>0</v>
      </c>
      <c r="J214" s="183"/>
      <c r="K214"/>
    </row>
    <row r="215" spans="1:11" ht="19.350000000000001" customHeight="1">
      <c r="A215" s="102"/>
      <c r="B215" s="102"/>
      <c r="C215" s="117"/>
      <c r="F215" s="19"/>
      <c r="G215" s="10"/>
      <c r="H215" s="20"/>
      <c r="I215" s="21">
        <f>Tableau3[[#This Row],[Stock final]]*Tableau3[[#This Row],[P.U.]]</f>
        <v>0</v>
      </c>
      <c r="J215" s="183"/>
      <c r="K215"/>
    </row>
    <row r="216" spans="1:11" ht="19.350000000000001" customHeight="1">
      <c r="A216" s="102"/>
      <c r="B216" s="102"/>
      <c r="C216" s="117"/>
      <c r="F216" s="19"/>
      <c r="G216" s="10"/>
      <c r="H216" s="20"/>
      <c r="I216" s="21">
        <f>Tableau3[[#This Row],[Stock final]]*Tableau3[[#This Row],[P.U.]]</f>
        <v>0</v>
      </c>
      <c r="J216" s="183"/>
      <c r="K216"/>
    </row>
    <row r="217" spans="1:11" ht="19.350000000000001" customHeight="1">
      <c r="A217" s="102"/>
      <c r="B217" s="102"/>
      <c r="C217" s="117"/>
      <c r="F217" s="19"/>
      <c r="G217" s="10"/>
      <c r="H217" s="20"/>
      <c r="I217" s="21">
        <f>Tableau3[[#This Row],[Stock final]]*Tableau3[[#This Row],[P.U.]]</f>
        <v>0</v>
      </c>
      <c r="J217" s="183"/>
      <c r="K217"/>
    </row>
    <row r="218" spans="1:11" ht="19.350000000000001" customHeight="1">
      <c r="A218" s="102"/>
      <c r="B218" s="102"/>
      <c r="C218" s="117"/>
      <c r="F218" s="19"/>
      <c r="G218" s="10"/>
      <c r="H218" s="20"/>
      <c r="I218" s="21">
        <f>Tableau3[[#This Row],[Stock final]]*Tableau3[[#This Row],[P.U.]]</f>
        <v>0</v>
      </c>
      <c r="J218" s="183"/>
      <c r="K218"/>
    </row>
    <row r="219" spans="1:11" ht="19.350000000000001" customHeight="1">
      <c r="A219" s="102"/>
      <c r="B219" s="102"/>
      <c r="C219" s="117"/>
      <c r="F219" s="19"/>
      <c r="G219" s="10"/>
      <c r="H219" s="20"/>
      <c r="I219" s="21">
        <f>Tableau3[[#This Row],[Stock final]]*Tableau3[[#This Row],[P.U.]]</f>
        <v>0</v>
      </c>
      <c r="J219" s="183"/>
      <c r="K219"/>
    </row>
    <row r="220" spans="1:11" ht="19.350000000000001" customHeight="1">
      <c r="A220" s="102"/>
      <c r="B220" s="102"/>
      <c r="C220" s="117"/>
      <c r="F220" s="19"/>
      <c r="G220" s="10"/>
      <c r="H220" s="20"/>
      <c r="I220" s="21">
        <f>Tableau3[[#This Row],[Stock final]]*Tableau3[[#This Row],[P.U.]]</f>
        <v>0</v>
      </c>
      <c r="J220" s="183"/>
      <c r="K220"/>
    </row>
    <row r="221" spans="1:11" ht="19.350000000000001" customHeight="1">
      <c r="A221" s="102"/>
      <c r="B221" s="102"/>
      <c r="C221" s="117"/>
      <c r="F221" s="19"/>
      <c r="G221" s="10"/>
      <c r="H221" s="20"/>
      <c r="I221" s="21">
        <f>Tableau3[[#This Row],[Stock final]]*Tableau3[[#This Row],[P.U.]]</f>
        <v>0</v>
      </c>
      <c r="J221" s="183"/>
      <c r="K221"/>
    </row>
    <row r="222" spans="1:11" ht="19.350000000000001" customHeight="1">
      <c r="A222" s="102"/>
      <c r="B222" s="102"/>
      <c r="C222" s="117"/>
      <c r="F222" s="19"/>
      <c r="G222" s="10"/>
      <c r="H222" s="20"/>
      <c r="I222" s="21">
        <f>Tableau3[[#This Row],[Stock final]]*Tableau3[[#This Row],[P.U.]]</f>
        <v>0</v>
      </c>
      <c r="J222" s="183"/>
      <c r="K222"/>
    </row>
    <row r="223" spans="1:11" ht="19.350000000000001" customHeight="1">
      <c r="A223" s="102"/>
      <c r="B223" s="102"/>
      <c r="C223" s="117"/>
      <c r="F223" s="19"/>
      <c r="G223" s="10"/>
      <c r="H223" s="20"/>
      <c r="I223" s="21">
        <f>Tableau3[[#This Row],[Stock final]]*Tableau3[[#This Row],[P.U.]]</f>
        <v>0</v>
      </c>
      <c r="J223" s="183"/>
      <c r="K223"/>
    </row>
    <row r="224" spans="1:11" ht="19.350000000000001" customHeight="1">
      <c r="A224" s="102"/>
      <c r="B224" s="102"/>
      <c r="C224" s="117"/>
      <c r="F224" s="19"/>
      <c r="G224" s="10"/>
      <c r="H224" s="20"/>
      <c r="I224" s="21">
        <f>Tableau3[[#This Row],[Stock final]]*Tableau3[[#This Row],[P.U.]]</f>
        <v>0</v>
      </c>
      <c r="J224" s="183"/>
      <c r="K224"/>
    </row>
    <row r="225" spans="1:11" ht="19.350000000000001" customHeight="1">
      <c r="A225" s="102"/>
      <c r="B225" s="102"/>
      <c r="C225" s="117"/>
      <c r="F225" s="19"/>
      <c r="G225" s="10"/>
      <c r="H225" s="20"/>
      <c r="I225" s="21">
        <f>Tableau3[[#This Row],[Stock final]]*Tableau3[[#This Row],[P.U.]]</f>
        <v>0</v>
      </c>
      <c r="J225" s="183"/>
      <c r="K225"/>
    </row>
    <row r="226" spans="1:11" ht="19.350000000000001" customHeight="1">
      <c r="A226" s="102"/>
      <c r="B226" s="89"/>
      <c r="C226" s="117"/>
      <c r="F226" s="19"/>
      <c r="G226" s="10"/>
      <c r="H226" s="20"/>
      <c r="I226" s="21">
        <f>Tableau3[[#This Row],[Stock final]]*Tableau3[[#This Row],[P.U.]]</f>
        <v>0</v>
      </c>
      <c r="J226" s="183"/>
      <c r="K226"/>
    </row>
    <row r="227" spans="1:11" ht="19.350000000000001" customHeight="1">
      <c r="A227" s="102"/>
      <c r="B227" s="17"/>
      <c r="C227" s="116"/>
      <c r="F227" s="19"/>
      <c r="G227" s="10"/>
      <c r="H227" s="20"/>
      <c r="I227" s="21"/>
      <c r="J227" s="183"/>
      <c r="K227"/>
    </row>
    <row r="228" spans="1:11" ht="20.100000000000001" customHeight="1">
      <c r="A228" s="102"/>
      <c r="B228" s="102"/>
      <c r="C228" s="116"/>
      <c r="F228" s="19"/>
      <c r="G228" s="10"/>
      <c r="H228" s="20"/>
      <c r="I228" s="21">
        <f>Tableau3[[#This Row],[Stock final]]*Tableau3[[#This Row],[P.U.]]</f>
        <v>0</v>
      </c>
      <c r="J228" s="183"/>
      <c r="K228"/>
    </row>
    <row r="229" spans="1:11" ht="20.100000000000001" customHeight="1">
      <c r="A229" s="102"/>
      <c r="B229" s="102"/>
      <c r="C229" s="116"/>
      <c r="F229" s="19"/>
      <c r="G229" s="10"/>
      <c r="H229" s="20"/>
      <c r="I229" s="21">
        <f>Tableau3[[#This Row],[Stock final]]*Tableau3[[#This Row],[P.U.]]</f>
        <v>0</v>
      </c>
      <c r="J229" s="183"/>
      <c r="K229"/>
    </row>
    <row r="230" spans="1:11" ht="20.100000000000001" customHeight="1">
      <c r="A230" s="102"/>
      <c r="B230" s="102"/>
      <c r="C230" s="116"/>
      <c r="F230" s="19"/>
      <c r="G230" s="10"/>
      <c r="H230" s="20"/>
      <c r="I230" s="21">
        <f>Tableau3[[#This Row],[Stock final]]*Tableau3[[#This Row],[P.U.]]</f>
        <v>0</v>
      </c>
      <c r="J230" s="183"/>
      <c r="K230"/>
    </row>
    <row r="231" spans="1:11" ht="20.100000000000001" customHeight="1">
      <c r="A231" s="102" t="s">
        <v>73</v>
      </c>
      <c r="B231" s="145" t="s">
        <v>139</v>
      </c>
      <c r="C231" s="116" t="s">
        <v>90</v>
      </c>
      <c r="D231" s="11" t="s">
        <v>140</v>
      </c>
      <c r="F231" s="19"/>
      <c r="G231" s="10"/>
      <c r="H231" s="20">
        <v>9.77</v>
      </c>
      <c r="I231" s="21">
        <f>Tableau3[[#This Row],[Stock final]]*Tableau3[[#This Row],[P.U.]]</f>
        <v>0</v>
      </c>
      <c r="J231" s="183"/>
      <c r="K231"/>
    </row>
    <row r="232" spans="1:11" ht="20.100000000000001" customHeight="1">
      <c r="A232" s="102" t="s">
        <v>73</v>
      </c>
      <c r="B232" s="102" t="s">
        <v>139</v>
      </c>
      <c r="C232" s="116" t="s">
        <v>91</v>
      </c>
      <c r="D232" s="11" t="s">
        <v>141</v>
      </c>
      <c r="F232" s="19"/>
      <c r="G232" s="10"/>
      <c r="H232" s="20">
        <v>14.9</v>
      </c>
      <c r="I232" s="21">
        <f>Tableau3[[#This Row],[Stock final]]*Tableau3[[#This Row],[P.U.]]</f>
        <v>0</v>
      </c>
      <c r="J232" s="183"/>
      <c r="K232"/>
    </row>
    <row r="233" spans="1:11" ht="20.100000000000001" customHeight="1">
      <c r="A233" s="102" t="s">
        <v>73</v>
      </c>
      <c r="B233" s="102" t="s">
        <v>139</v>
      </c>
      <c r="C233" s="116" t="s">
        <v>92</v>
      </c>
      <c r="D233" s="165" t="s">
        <v>142</v>
      </c>
      <c r="F233" s="19"/>
      <c r="G233" s="10">
        <v>3</v>
      </c>
      <c r="H233" s="20">
        <v>22.58</v>
      </c>
      <c r="I233" s="21">
        <f>Tableau3[[#This Row],[Stock final]]*Tableau3[[#This Row],[P.U.]]</f>
        <v>67.739999999999995</v>
      </c>
      <c r="J233" s="183"/>
      <c r="K233"/>
    </row>
    <row r="234" spans="1:11" ht="20.100000000000001" customHeight="1">
      <c r="A234" s="102" t="s">
        <v>73</v>
      </c>
      <c r="B234" s="102" t="s">
        <v>139</v>
      </c>
      <c r="C234" s="116" t="s">
        <v>101</v>
      </c>
      <c r="D234" s="11" t="s">
        <v>143</v>
      </c>
      <c r="F234" s="19"/>
      <c r="G234" s="10"/>
      <c r="H234" s="20">
        <v>37.67</v>
      </c>
      <c r="I234" s="21">
        <f>Tableau3[[#This Row],[Stock final]]*Tableau3[[#This Row],[P.U.]]</f>
        <v>0</v>
      </c>
      <c r="J234" s="183"/>
      <c r="K234"/>
    </row>
    <row r="235" spans="1:11" ht="20.100000000000001" customHeight="1">
      <c r="A235" s="102" t="s">
        <v>73</v>
      </c>
      <c r="B235" s="102" t="s">
        <v>137</v>
      </c>
      <c r="C235" s="116" t="s">
        <v>144</v>
      </c>
      <c r="D235" s="11" t="s">
        <v>143</v>
      </c>
      <c r="F235" s="19"/>
      <c r="G235" s="10"/>
      <c r="H235" s="20">
        <v>30.5</v>
      </c>
      <c r="I235" s="21">
        <f>Tableau3[[#This Row],[Stock final]]*Tableau3[[#This Row],[P.U.]]</f>
        <v>0</v>
      </c>
      <c r="J235" s="183"/>
      <c r="K235"/>
    </row>
    <row r="236" spans="1:11" ht="20.100000000000001" customHeight="1">
      <c r="A236" s="102" t="s">
        <v>73</v>
      </c>
      <c r="B236" s="102" t="s">
        <v>31</v>
      </c>
      <c r="C236" s="116">
        <v>92062</v>
      </c>
      <c r="D236" s="11" t="s">
        <v>110</v>
      </c>
      <c r="F236" s="19"/>
      <c r="G236" s="10">
        <v>0</v>
      </c>
      <c r="H236" s="20">
        <v>31.32</v>
      </c>
      <c r="I236" s="21">
        <f>Tableau3[[#This Row],[Stock final]]*Tableau3[[#This Row],[P.U.]]</f>
        <v>0</v>
      </c>
      <c r="J236" s="183"/>
      <c r="K236"/>
    </row>
    <row r="237" spans="1:11" ht="20.100000000000001" customHeight="1">
      <c r="A237" s="102" t="s">
        <v>73</v>
      </c>
      <c r="B237" s="102" t="s">
        <v>31</v>
      </c>
      <c r="C237" s="116">
        <v>50004</v>
      </c>
      <c r="D237" s="11" t="s">
        <v>53</v>
      </c>
      <c r="F237" s="19"/>
      <c r="G237" s="10">
        <v>0</v>
      </c>
      <c r="H237" s="20">
        <v>7.5</v>
      </c>
      <c r="I237" s="21">
        <f>Tableau3[[#This Row],[Stock final]]*Tableau3[[#This Row],[P.U.]]</f>
        <v>0</v>
      </c>
      <c r="J237" s="183"/>
      <c r="K237"/>
    </row>
    <row r="238" spans="1:11" ht="20.100000000000001" customHeight="1">
      <c r="A238" s="102" t="s">
        <v>73</v>
      </c>
      <c r="B238" s="102" t="s">
        <v>31</v>
      </c>
      <c r="C238" s="116">
        <v>50003</v>
      </c>
      <c r="D238" s="11" t="s">
        <v>52</v>
      </c>
      <c r="F238" s="19"/>
      <c r="G238" s="10">
        <v>0</v>
      </c>
      <c r="H238" s="20">
        <v>4.5</v>
      </c>
      <c r="I238" s="21">
        <f>Tableau3[[#This Row],[Stock final]]*Tableau3[[#This Row],[P.U.]]</f>
        <v>0</v>
      </c>
      <c r="J238" s="183"/>
      <c r="K238"/>
    </row>
    <row r="239" spans="1:11" ht="20.100000000000001" customHeight="1">
      <c r="A239" s="102" t="s">
        <v>73</v>
      </c>
      <c r="B239" s="102" t="s">
        <v>31</v>
      </c>
      <c r="C239" s="116">
        <v>50030</v>
      </c>
      <c r="D239" s="11" t="s">
        <v>51</v>
      </c>
      <c r="F239" s="19"/>
      <c r="G239" s="10"/>
      <c r="H239" s="20">
        <v>1.29</v>
      </c>
      <c r="I239" s="21">
        <f>Tableau3[[#This Row],[Stock final]]*Tableau3[[#This Row],[P.U.]]</f>
        <v>0</v>
      </c>
      <c r="J239" s="183"/>
      <c r="K239"/>
    </row>
    <row r="240" spans="1:11" ht="20.100000000000001" customHeight="1">
      <c r="A240" s="102" t="s">
        <v>73</v>
      </c>
      <c r="B240" s="102" t="s">
        <v>31</v>
      </c>
      <c r="C240" s="106">
        <v>50002</v>
      </c>
      <c r="D240" s="11" t="s">
        <v>50</v>
      </c>
      <c r="F240" s="19"/>
      <c r="G240" s="10"/>
      <c r="H240" s="20">
        <v>1.33</v>
      </c>
      <c r="I240" s="21">
        <f>Tableau3[[#This Row],[Stock final]]*Tableau3[[#This Row],[P.U.]]</f>
        <v>0</v>
      </c>
      <c r="J240" s="183"/>
      <c r="K240"/>
    </row>
    <row r="241" spans="1:11" ht="20.100000000000001" customHeight="1">
      <c r="A241" s="102"/>
      <c r="B241" s="102"/>
      <c r="C241" s="116"/>
      <c r="F241" s="107"/>
      <c r="G241" s="10"/>
      <c r="H241" s="103"/>
      <c r="I241" s="108">
        <f>Tableau3[[#This Row],[Stock final]]*Tableau3[[#This Row],[P.U.]]</f>
        <v>0</v>
      </c>
      <c r="J241" s="183"/>
      <c r="K241"/>
    </row>
    <row r="242" spans="1:11" ht="20.100000000000001" customHeight="1">
      <c r="A242" s="102"/>
      <c r="B242" s="102"/>
      <c r="C242" s="116"/>
      <c r="F242" s="107"/>
      <c r="G242" s="10"/>
      <c r="H242" s="103"/>
      <c r="I242" s="108">
        <f>Tableau3[[#This Row],[Stock final]]*Tableau3[[#This Row],[P.U.]]</f>
        <v>0</v>
      </c>
      <c r="J242" s="183"/>
      <c r="K242"/>
    </row>
    <row r="243" spans="1:11" ht="20.100000000000001" customHeight="1">
      <c r="A243" s="102"/>
      <c r="B243" s="102"/>
      <c r="C243" s="116"/>
      <c r="F243" s="107"/>
      <c r="G243" s="10"/>
      <c r="H243" s="103"/>
      <c r="I243" s="108">
        <f>Tableau3[[#This Row],[Stock final]]*Tableau3[[#This Row],[P.U.]]</f>
        <v>0</v>
      </c>
      <c r="J243" s="183"/>
      <c r="K243"/>
    </row>
    <row r="244" spans="1:11" ht="20.100000000000001" customHeight="1">
      <c r="A244" s="102"/>
      <c r="B244" s="102"/>
      <c r="C244" s="116"/>
      <c r="F244" s="107"/>
      <c r="G244" s="10"/>
      <c r="H244" s="103"/>
      <c r="I244" s="108">
        <f>Tableau3[[#This Row],[Stock final]]*Tableau3[[#This Row],[P.U.]]</f>
        <v>0</v>
      </c>
      <c r="J244" s="183"/>
      <c r="K244"/>
    </row>
    <row r="245" spans="1:11" ht="20.100000000000001" customHeight="1">
      <c r="A245" s="102"/>
      <c r="B245" s="102"/>
      <c r="C245" s="116"/>
      <c r="F245" s="107"/>
      <c r="G245" s="10"/>
      <c r="H245" s="103"/>
      <c r="I245" s="108">
        <f>Tableau3[[#This Row],[Stock final]]*Tableau3[[#This Row],[P.U.]]</f>
        <v>0</v>
      </c>
      <c r="J245" s="183"/>
      <c r="K245"/>
    </row>
    <row r="246" spans="1:11" ht="20.100000000000001" customHeight="1">
      <c r="A246" s="102"/>
      <c r="B246" s="102"/>
      <c r="C246" s="116"/>
      <c r="F246" s="107"/>
      <c r="G246" s="10"/>
      <c r="H246" s="103"/>
      <c r="I246" s="108">
        <f>Tableau3[[#This Row],[Stock final]]*Tableau3[[#This Row],[P.U.]]</f>
        <v>0</v>
      </c>
      <c r="J246" s="183"/>
      <c r="K246"/>
    </row>
    <row r="247" spans="1:11" ht="20.100000000000001" customHeight="1">
      <c r="A247" s="102"/>
      <c r="B247" s="102"/>
      <c r="C247" s="116"/>
      <c r="F247" s="107"/>
      <c r="G247" s="10"/>
      <c r="H247" s="103"/>
      <c r="I247" s="108">
        <f>Tableau3[[#This Row],[Stock final]]*Tableau3[[#This Row],[P.U.]]</f>
        <v>0</v>
      </c>
      <c r="J247" s="183"/>
      <c r="K247"/>
    </row>
    <row r="248" spans="1:11" ht="20.100000000000001" customHeight="1">
      <c r="A248" s="102"/>
      <c r="B248" s="102"/>
      <c r="C248" s="116"/>
      <c r="F248" s="107"/>
      <c r="G248" s="10"/>
      <c r="H248" s="103"/>
      <c r="I248" s="108">
        <f>Tableau3[[#This Row],[Stock final]]*Tableau3[[#This Row],[P.U.]]</f>
        <v>0</v>
      </c>
      <c r="J248" s="183"/>
      <c r="K248"/>
    </row>
    <row r="249" spans="1:11" ht="20.100000000000001" customHeight="1">
      <c r="A249" s="102"/>
      <c r="B249" s="102"/>
      <c r="C249" s="116"/>
      <c r="F249" s="107"/>
      <c r="G249" s="10"/>
      <c r="H249" s="103"/>
      <c r="I249" s="108">
        <f>Tableau3[[#This Row],[Stock final]]*Tableau3[[#This Row],[P.U.]]</f>
        <v>0</v>
      </c>
      <c r="J249" s="183"/>
      <c r="K249"/>
    </row>
    <row r="250" spans="1:11" ht="20.100000000000001" customHeight="1">
      <c r="A250" s="102"/>
      <c r="B250" s="102"/>
      <c r="C250" s="116"/>
      <c r="F250" s="107"/>
      <c r="G250" s="10"/>
      <c r="H250" s="103"/>
      <c r="I250" s="108">
        <f>Tableau3[[#This Row],[Stock final]]*Tableau3[[#This Row],[P.U.]]</f>
        <v>0</v>
      </c>
      <c r="J250" s="183"/>
      <c r="K250"/>
    </row>
    <row r="251" spans="1:11" ht="20.100000000000001" customHeight="1">
      <c r="A251" s="102"/>
      <c r="B251" s="102"/>
      <c r="C251" s="116"/>
      <c r="F251" s="107"/>
      <c r="G251" s="10"/>
      <c r="H251" s="103"/>
      <c r="I251" s="108">
        <f>Tableau3[[#This Row],[Stock final]]*Tableau3[[#This Row],[P.U.]]</f>
        <v>0</v>
      </c>
      <c r="J251" s="183"/>
      <c r="K251"/>
    </row>
    <row r="252" spans="1:11" ht="20.100000000000001" customHeight="1">
      <c r="A252" s="102"/>
      <c r="B252" s="102"/>
      <c r="C252" s="116"/>
      <c r="F252" s="107"/>
      <c r="G252" s="10"/>
      <c r="H252" s="103"/>
      <c r="I252" s="108">
        <f>Tableau3[[#This Row],[Stock final]]*Tableau3[[#This Row],[P.U.]]</f>
        <v>0</v>
      </c>
      <c r="J252" s="183"/>
      <c r="K252"/>
    </row>
    <row r="253" spans="1:11" ht="20.100000000000001" customHeight="1">
      <c r="A253" s="102"/>
      <c r="B253" s="102"/>
      <c r="C253" s="116"/>
      <c r="F253" s="107"/>
      <c r="G253" s="10"/>
      <c r="H253" s="103"/>
      <c r="I253" s="108">
        <f>Tableau3[[#This Row],[Stock final]]*Tableau3[[#This Row],[P.U.]]</f>
        <v>0</v>
      </c>
      <c r="J253" s="183"/>
      <c r="K253"/>
    </row>
    <row r="254" spans="1:11" ht="20.100000000000001" customHeight="1">
      <c r="A254" s="102"/>
      <c r="B254" s="102"/>
      <c r="C254" s="116"/>
      <c r="F254" s="107"/>
      <c r="G254" s="10"/>
      <c r="H254" s="103"/>
      <c r="I254" s="108">
        <f>Tableau3[[#This Row],[Stock final]]*Tableau3[[#This Row],[P.U.]]</f>
        <v>0</v>
      </c>
      <c r="J254" s="183"/>
      <c r="K254"/>
    </row>
    <row r="255" spans="1:11" ht="20.100000000000001" customHeight="1">
      <c r="A255" s="102" t="s">
        <v>73</v>
      </c>
      <c r="B255" s="102"/>
      <c r="C255" s="116"/>
      <c r="F255" s="107"/>
      <c r="G255" s="10"/>
      <c r="H255" s="103"/>
      <c r="I255" s="108">
        <f>Tableau3[[#This Row],[Stock final]]*Tableau3[[#This Row],[P.U.]]</f>
        <v>0</v>
      </c>
      <c r="J255" s="183"/>
      <c r="K255"/>
    </row>
    <row r="256" spans="1:11" ht="20.100000000000001" customHeight="1">
      <c r="A256" s="102" t="s">
        <v>73</v>
      </c>
      <c r="B256" s="102"/>
      <c r="C256" s="116"/>
      <c r="F256" s="107"/>
      <c r="G256" s="10"/>
      <c r="H256" s="103"/>
      <c r="I256" s="108">
        <f>Tableau3[[#This Row],[Stock final]]*Tableau3[[#This Row],[P.U.]]</f>
        <v>0</v>
      </c>
      <c r="J256" s="183"/>
      <c r="K256"/>
    </row>
    <row r="257" spans="1:11" ht="20.100000000000001" customHeight="1">
      <c r="A257" s="102" t="s">
        <v>73</v>
      </c>
      <c r="B257" s="102"/>
      <c r="C257" s="116"/>
      <c r="F257" s="107"/>
      <c r="G257" s="10"/>
      <c r="H257" s="103"/>
      <c r="I257" s="108">
        <f>Tableau3[[#This Row],[Stock final]]*Tableau3[[#This Row],[P.U.]]</f>
        <v>0</v>
      </c>
      <c r="J257" s="183"/>
      <c r="K257"/>
    </row>
    <row r="258" spans="1:11" ht="20.100000000000001" customHeight="1">
      <c r="A258" s="102" t="s">
        <v>73</v>
      </c>
      <c r="B258" s="102"/>
      <c r="C258" s="116"/>
      <c r="F258" s="107"/>
      <c r="G258" s="10"/>
      <c r="H258" s="103"/>
      <c r="I258" s="108">
        <f>Tableau3[[#This Row],[Stock final]]*Tableau3[[#This Row],[P.U.]]</f>
        <v>0</v>
      </c>
      <c r="J258" s="183"/>
      <c r="K258"/>
    </row>
    <row r="259" spans="1:11" ht="20.100000000000001" customHeight="1">
      <c r="A259" s="102" t="s">
        <v>73</v>
      </c>
      <c r="B259" s="102"/>
      <c r="C259" s="116"/>
      <c r="F259" s="107"/>
      <c r="G259" s="10"/>
      <c r="H259" s="103"/>
      <c r="I259" s="108">
        <f>Tableau3[[#This Row],[Stock final]]*Tableau3[[#This Row],[P.U.]]</f>
        <v>0</v>
      </c>
      <c r="J259" s="183"/>
      <c r="K259"/>
    </row>
    <row r="260" spans="1:11" ht="20.100000000000001" customHeight="1">
      <c r="A260" s="102" t="s">
        <v>73</v>
      </c>
      <c r="B260" s="102"/>
      <c r="C260" s="116"/>
      <c r="F260" s="107"/>
      <c r="G260" s="10"/>
      <c r="H260" s="103"/>
      <c r="I260" s="108">
        <f>Tableau3[[#This Row],[Stock final]]*Tableau3[[#This Row],[P.U.]]</f>
        <v>0</v>
      </c>
      <c r="J260" s="183"/>
      <c r="K260"/>
    </row>
    <row r="261" spans="1:11" ht="20.100000000000001" customHeight="1">
      <c r="A261" s="102" t="s">
        <v>73</v>
      </c>
      <c r="B261" s="102"/>
      <c r="C261" s="116"/>
      <c r="F261" s="107"/>
      <c r="G261" s="10"/>
      <c r="H261" s="103"/>
      <c r="I261" s="108">
        <f>Tableau3[[#This Row],[Stock final]]*Tableau3[[#This Row],[P.U.]]</f>
        <v>0</v>
      </c>
      <c r="J261" s="183"/>
      <c r="K261"/>
    </row>
    <row r="262" spans="1:11" ht="20.100000000000001" customHeight="1">
      <c r="A262" s="102" t="s">
        <v>73</v>
      </c>
      <c r="B262" s="102"/>
      <c r="C262" s="116"/>
      <c r="F262" s="107"/>
      <c r="G262" s="10"/>
      <c r="H262" s="103"/>
      <c r="I262" s="108">
        <f>Tableau3[[#This Row],[Stock final]]*Tableau3[[#This Row],[P.U.]]</f>
        <v>0</v>
      </c>
      <c r="J262" s="183"/>
      <c r="K262"/>
    </row>
    <row r="263" spans="1:11" ht="20.100000000000001" customHeight="1">
      <c r="A263" s="102" t="s">
        <v>73</v>
      </c>
      <c r="B263" s="102"/>
      <c r="C263" s="116"/>
      <c r="F263" s="19"/>
      <c r="G263" s="10"/>
      <c r="H263" s="20"/>
      <c r="I263" s="21">
        <f>Tableau3[[#This Row],[Stock final]]*Tableau3[[#This Row],[P.U.]]</f>
        <v>0</v>
      </c>
      <c r="J263" s="183"/>
      <c r="K263"/>
    </row>
    <row r="264" spans="1:11" ht="20.100000000000001" customHeight="1">
      <c r="A264" s="102" t="s">
        <v>73</v>
      </c>
      <c r="B264" s="102"/>
      <c r="C264" s="116"/>
      <c r="F264" s="19"/>
      <c r="G264" s="10"/>
      <c r="H264" s="20"/>
      <c r="I264" s="21">
        <f>Tableau3[[#This Row],[Stock final]]*Tableau3[[#This Row],[P.U.]]</f>
        <v>0</v>
      </c>
      <c r="J264" s="183"/>
      <c r="K264"/>
    </row>
    <row r="265" spans="1:11" ht="20.100000000000001" customHeight="1">
      <c r="A265" s="102" t="s">
        <v>73</v>
      </c>
      <c r="B265" s="102"/>
      <c r="C265" s="116"/>
      <c r="F265" s="19"/>
      <c r="G265" s="10"/>
      <c r="H265" s="20"/>
      <c r="I265" s="21">
        <f>Tableau3[[#This Row],[Stock final]]*Tableau3[[#This Row],[P.U.]]</f>
        <v>0</v>
      </c>
      <c r="J265" s="183"/>
      <c r="K265"/>
    </row>
    <row r="266" spans="1:11" ht="20.100000000000001" customHeight="1">
      <c r="A266" s="102"/>
      <c r="B266" s="102"/>
      <c r="C266" s="116"/>
      <c r="F266" s="19"/>
      <c r="G266" s="10"/>
      <c r="H266" s="20"/>
      <c r="I266" s="21">
        <f>Tableau3[[#This Row],[Stock final]]*Tableau3[[#This Row],[P.U.]]</f>
        <v>0</v>
      </c>
      <c r="J266" s="183"/>
      <c r="K266"/>
    </row>
    <row r="267" spans="1:11" ht="20.100000000000001" customHeight="1">
      <c r="A267" s="102"/>
      <c r="B267" s="102"/>
      <c r="C267" s="116"/>
      <c r="F267" s="19"/>
      <c r="G267" s="10"/>
      <c r="H267" s="20"/>
      <c r="I267" s="21">
        <f>Tableau3[[#This Row],[Stock final]]*Tableau3[[#This Row],[P.U.]]</f>
        <v>0</v>
      </c>
      <c r="J267" s="183"/>
      <c r="K267"/>
    </row>
    <row r="268" spans="1:11" ht="20.100000000000001" customHeight="1">
      <c r="A268" s="102"/>
      <c r="B268" s="102"/>
      <c r="C268" s="116"/>
      <c r="F268" s="19"/>
      <c r="G268" s="10"/>
      <c r="H268" s="20"/>
      <c r="I268" s="21">
        <f>Tableau3[[#This Row],[Stock final]]*Tableau3[[#This Row],[P.U.]]</f>
        <v>0</v>
      </c>
      <c r="J268" s="183"/>
      <c r="K268"/>
    </row>
    <row r="269" spans="1:11" ht="20.100000000000001" customHeight="1">
      <c r="A269" s="102"/>
      <c r="B269" s="102"/>
      <c r="C269" s="116"/>
      <c r="F269" s="19"/>
      <c r="G269" s="10"/>
      <c r="H269" s="20"/>
      <c r="I269" s="21">
        <f>Tableau3[[#This Row],[Stock final]]*Tableau3[[#This Row],[P.U.]]</f>
        <v>0</v>
      </c>
      <c r="J269" s="183"/>
      <c r="K269"/>
    </row>
    <row r="270" spans="1:11" ht="20.100000000000001" customHeight="1">
      <c r="A270" s="102"/>
      <c r="B270" s="102"/>
      <c r="C270" s="116"/>
      <c r="F270" s="19"/>
      <c r="G270" s="10"/>
      <c r="H270" s="20"/>
      <c r="I270" s="21">
        <f>Tableau3[[#This Row],[Stock final]]*Tableau3[[#This Row],[P.U.]]</f>
        <v>0</v>
      </c>
      <c r="J270" s="183"/>
      <c r="K270"/>
    </row>
    <row r="271" spans="1:11" ht="20.100000000000001" customHeight="1">
      <c r="A271" s="102"/>
      <c r="B271" s="102"/>
      <c r="C271" s="116"/>
      <c r="F271" s="19"/>
      <c r="G271" s="10"/>
      <c r="H271" s="20"/>
      <c r="I271" s="21">
        <f>Tableau3[[#This Row],[Stock final]]*Tableau3[[#This Row],[P.U.]]</f>
        <v>0</v>
      </c>
      <c r="J271" s="183"/>
      <c r="K271"/>
    </row>
    <row r="272" spans="1:11" ht="20.100000000000001" customHeight="1">
      <c r="A272" s="102"/>
      <c r="B272" s="102"/>
      <c r="C272" s="116"/>
      <c r="F272" s="19"/>
      <c r="G272" s="10"/>
      <c r="H272" s="20"/>
      <c r="I272" s="21">
        <f>Tableau3[[#This Row],[Stock final]]*Tableau3[[#This Row],[P.U.]]</f>
        <v>0</v>
      </c>
      <c r="J272" s="183"/>
      <c r="K272"/>
    </row>
    <row r="273" spans="1:11" ht="20.100000000000001" customHeight="1">
      <c r="A273" s="102"/>
      <c r="B273" s="102"/>
      <c r="C273" s="116"/>
      <c r="F273" s="19"/>
      <c r="G273" s="10"/>
      <c r="H273" s="20"/>
      <c r="I273" s="21">
        <f>Tableau3[[#This Row],[Stock final]]*Tableau3[[#This Row],[P.U.]]</f>
        <v>0</v>
      </c>
      <c r="J273" s="183"/>
      <c r="K273"/>
    </row>
    <row r="274" spans="1:11" ht="20.100000000000001" customHeight="1">
      <c r="A274" s="102"/>
      <c r="B274" s="102"/>
      <c r="C274" s="116"/>
      <c r="F274" s="19"/>
      <c r="G274" s="10"/>
      <c r="H274" s="20"/>
      <c r="I274" s="21">
        <f>Tableau3[[#This Row],[Stock final]]*Tableau3[[#This Row],[P.U.]]</f>
        <v>0</v>
      </c>
      <c r="J274" s="183"/>
      <c r="K274"/>
    </row>
    <row r="275" spans="1:11" ht="20.100000000000001" customHeight="1">
      <c r="A275" s="102"/>
      <c r="B275" s="57"/>
      <c r="C275" s="116"/>
      <c r="F275" s="19"/>
      <c r="G275" s="10"/>
      <c r="H275" s="20"/>
      <c r="I275" s="21">
        <f>Tableau3[[#This Row],[Stock final]]*Tableau3[[#This Row],[P.U.]]</f>
        <v>0</v>
      </c>
      <c r="J275" s="183"/>
      <c r="K275"/>
    </row>
    <row r="276" spans="1:11" ht="20.100000000000001" customHeight="1">
      <c r="A276" s="109"/>
      <c r="B276" s="144"/>
      <c r="C276" s="116"/>
      <c r="F276" s="19"/>
      <c r="G276" s="10"/>
      <c r="H276" s="20"/>
      <c r="I276" s="21">
        <f>Tableau3[[#This Row],[Stock final]]*Tableau3[[#This Row],[P.U.]]</f>
        <v>0</v>
      </c>
      <c r="J276" s="183"/>
      <c r="K276"/>
    </row>
    <row r="277" spans="1:11" ht="20.100000000000001" customHeight="1">
      <c r="A277" s="105"/>
      <c r="B277" s="105"/>
      <c r="C277" s="106"/>
      <c r="F277" s="19"/>
      <c r="G277" s="10"/>
      <c r="H277" s="20"/>
      <c r="I277" s="21">
        <f>Tableau3[[#This Row],[Stock final]]*Tableau3[[#This Row],[P.U.]]</f>
        <v>0</v>
      </c>
      <c r="J277" s="183"/>
      <c r="K277"/>
    </row>
    <row r="278" spans="1:11" ht="20.100000000000001" customHeight="1">
      <c r="A278" s="109"/>
      <c r="B278" s="109"/>
      <c r="C278" s="116"/>
      <c r="F278" s="19"/>
      <c r="G278" s="10"/>
      <c r="H278" s="20"/>
      <c r="I278" s="21">
        <f>Tableau3[[#This Row],[Stock final]]*Tableau3[[#This Row],[P.U.]]</f>
        <v>0</v>
      </c>
      <c r="J278" s="183"/>
      <c r="K278"/>
    </row>
    <row r="279" spans="1:11" ht="20.100000000000001" customHeight="1">
      <c r="A279" s="102"/>
      <c r="B279" s="102"/>
      <c r="C279" s="116"/>
      <c r="F279" s="19"/>
      <c r="G279" s="10"/>
      <c r="H279" s="20"/>
      <c r="I279" s="21">
        <f>Tableau3[[#This Row],[Stock final]]*Tableau3[[#This Row],[P.U.]]</f>
        <v>0</v>
      </c>
      <c r="J279" s="183"/>
      <c r="K279"/>
    </row>
    <row r="280" spans="1:11" ht="20.100000000000001" customHeight="1">
      <c r="A280" s="102"/>
      <c r="B280" s="102"/>
      <c r="C280" s="138"/>
      <c r="F280" s="19"/>
      <c r="G280" s="10"/>
      <c r="H280" s="20"/>
      <c r="I280" s="21">
        <f>Tableau3[[#This Row],[Stock final]]*Tableau3[[#This Row],[P.U.]]</f>
        <v>0</v>
      </c>
      <c r="J280" s="183"/>
      <c r="K280"/>
    </row>
    <row r="281" spans="1:11" ht="20.100000000000001" customHeight="1">
      <c r="A281" s="102"/>
      <c r="B281" s="102"/>
      <c r="C281" s="116"/>
      <c r="F281" s="19"/>
      <c r="G281" s="10"/>
      <c r="H281" s="20"/>
      <c r="I281" s="21">
        <f>Tableau3[[#This Row],[Stock final]]*Tableau3[[#This Row],[P.U.]]</f>
        <v>0</v>
      </c>
      <c r="J281" s="183"/>
      <c r="K281"/>
    </row>
    <row r="282" spans="1:11" ht="20.100000000000001" customHeight="1">
      <c r="A282" s="102"/>
      <c r="B282" s="102"/>
      <c r="C282" s="116"/>
      <c r="F282" s="19"/>
      <c r="G282" s="10"/>
      <c r="H282" s="20"/>
      <c r="I282" s="21">
        <f>Tableau3[[#This Row],[Stock final]]*Tableau3[[#This Row],[P.U.]]</f>
        <v>0</v>
      </c>
      <c r="J282" s="183"/>
      <c r="K282"/>
    </row>
    <row r="283" spans="1:11" ht="20.100000000000001" customHeight="1">
      <c r="A283" s="102"/>
      <c r="B283" s="102"/>
      <c r="C283" s="116"/>
      <c r="F283" s="19"/>
      <c r="G283" s="10"/>
      <c r="H283" s="20"/>
      <c r="I283" s="21">
        <f>Tableau3[[#This Row],[Stock final]]*Tableau3[[#This Row],[P.U.]]</f>
        <v>0</v>
      </c>
      <c r="J283" s="183"/>
      <c r="K283"/>
    </row>
    <row r="284" spans="1:11" ht="20.100000000000001" customHeight="1">
      <c r="A284" s="102"/>
      <c r="B284" s="102"/>
      <c r="C284" s="116"/>
      <c r="F284" s="19"/>
      <c r="G284" s="10"/>
      <c r="H284" s="20"/>
      <c r="I284" s="21">
        <f>Tableau3[[#This Row],[Stock final]]*Tableau3[[#This Row],[P.U.]]</f>
        <v>0</v>
      </c>
      <c r="J284" s="183"/>
      <c r="K284"/>
    </row>
    <row r="285" spans="1:11" ht="20.100000000000001" customHeight="1">
      <c r="A285" s="102"/>
      <c r="B285" s="102"/>
      <c r="C285" s="116"/>
      <c r="F285" s="19"/>
      <c r="G285" s="10"/>
      <c r="H285" s="20"/>
      <c r="I285" s="21">
        <f>Tableau3[[#This Row],[Stock final]]*Tableau3[[#This Row],[P.U.]]</f>
        <v>0</v>
      </c>
      <c r="J285" s="183"/>
      <c r="K285"/>
    </row>
    <row r="286" spans="1:11" ht="20.100000000000001" customHeight="1">
      <c r="A286" s="102"/>
      <c r="B286" s="102"/>
      <c r="C286" s="116"/>
      <c r="F286" s="19"/>
      <c r="G286" s="10"/>
      <c r="H286" s="20"/>
      <c r="I286" s="21">
        <f>Tableau3[[#This Row],[Stock final]]*Tableau3[[#This Row],[P.U.]]</f>
        <v>0</v>
      </c>
      <c r="J286" s="183"/>
      <c r="K286"/>
    </row>
    <row r="287" spans="1:11" ht="20.100000000000001" customHeight="1">
      <c r="A287" s="102"/>
      <c r="B287" s="89"/>
      <c r="C287" s="116"/>
      <c r="F287" s="19"/>
      <c r="G287" s="10"/>
      <c r="H287" s="20"/>
      <c r="I287" s="21">
        <f>Tableau3[[#This Row],[Stock final]]*Tableau3[[#This Row],[P.U.]]</f>
        <v>0</v>
      </c>
      <c r="J287" s="183"/>
      <c r="K287"/>
    </row>
    <row r="288" spans="1:11" ht="20.100000000000001" customHeight="1">
      <c r="A288" s="102"/>
      <c r="B288" s="89"/>
      <c r="C288" s="116"/>
      <c r="F288" s="19"/>
      <c r="G288" s="10"/>
      <c r="H288" s="20"/>
      <c r="I288" s="21">
        <f>Tableau3[[#This Row],[Stock final]]*Tableau3[[#This Row],[P.U.]]</f>
        <v>0</v>
      </c>
      <c r="J288" s="183"/>
      <c r="K288"/>
    </row>
    <row r="289" spans="1:11" ht="20.100000000000001" customHeight="1">
      <c r="A289" s="102"/>
      <c r="B289" s="91"/>
      <c r="C289" s="116"/>
      <c r="F289" s="19"/>
      <c r="G289" s="10"/>
      <c r="H289" s="20"/>
      <c r="I289" s="21">
        <f>Tableau3[[#This Row],[Stock final]]*Tableau3[[#This Row],[P.U.]]</f>
        <v>0</v>
      </c>
      <c r="J289" s="183"/>
      <c r="K289"/>
    </row>
    <row r="290" spans="1:11" ht="20.100000000000001" customHeight="1">
      <c r="A290" s="102"/>
      <c r="B290" s="102"/>
      <c r="C290" s="106"/>
      <c r="F290" s="19"/>
      <c r="G290" s="10"/>
      <c r="H290" s="20"/>
      <c r="I290" s="21">
        <f>Tableau3[[#This Row],[Stock final]]*Tableau3[[#This Row],[P.U.]]</f>
        <v>0</v>
      </c>
      <c r="J290" s="183"/>
      <c r="K290"/>
    </row>
    <row r="291" spans="1:11" ht="20.100000000000001" customHeight="1">
      <c r="A291" s="102"/>
      <c r="B291" s="102"/>
      <c r="C291" s="116"/>
      <c r="F291" s="19"/>
      <c r="G291" s="10"/>
      <c r="H291" s="20"/>
      <c r="I291" s="21">
        <f>Tableau3[[#This Row],[Stock final]]*Tableau3[[#This Row],[P.U.]]</f>
        <v>0</v>
      </c>
      <c r="J291" s="183"/>
      <c r="K291"/>
    </row>
    <row r="292" spans="1:11" ht="20.100000000000001" customHeight="1">
      <c r="A292" s="102"/>
      <c r="B292" s="102"/>
      <c r="C292" s="116"/>
      <c r="F292" s="19"/>
      <c r="G292" s="10"/>
      <c r="H292" s="20"/>
      <c r="I292" s="21">
        <f>Tableau3[[#This Row],[Stock final]]*Tableau3[[#This Row],[P.U.]]</f>
        <v>0</v>
      </c>
      <c r="J292" s="183"/>
      <c r="K292"/>
    </row>
    <row r="293" spans="1:11" ht="20.100000000000001" customHeight="1">
      <c r="A293" s="102"/>
      <c r="B293" s="102"/>
      <c r="C293" s="116"/>
      <c r="F293" s="19"/>
      <c r="G293" s="10"/>
      <c r="H293" s="20"/>
      <c r="I293" s="21">
        <f>Tableau3[[#This Row],[Stock final]]*Tableau3[[#This Row],[P.U.]]</f>
        <v>0</v>
      </c>
      <c r="J293" s="183"/>
      <c r="K293"/>
    </row>
    <row r="294" spans="1:11" ht="20.100000000000001" customHeight="1">
      <c r="A294" s="102" t="s">
        <v>69</v>
      </c>
      <c r="B294" s="102" t="s">
        <v>129</v>
      </c>
      <c r="C294" s="116" t="s">
        <v>54</v>
      </c>
      <c r="D294" s="11" t="s">
        <v>56</v>
      </c>
      <c r="F294" s="19"/>
      <c r="G294" s="10">
        <v>0</v>
      </c>
      <c r="H294" s="20">
        <v>12.93</v>
      </c>
      <c r="I294" s="21">
        <f>Tableau3[[#This Row],[Stock final]]*Tableau3[[#This Row],[P.U.]]</f>
        <v>0</v>
      </c>
      <c r="J294" s="183"/>
      <c r="K294"/>
    </row>
    <row r="295" spans="1:11" ht="20.100000000000001" customHeight="1">
      <c r="A295" s="102" t="s">
        <v>69</v>
      </c>
      <c r="B295" s="102" t="s">
        <v>129</v>
      </c>
      <c r="C295" s="116" t="s">
        <v>55</v>
      </c>
      <c r="D295" s="11" t="s">
        <v>30</v>
      </c>
      <c r="F295" s="19"/>
      <c r="G295" s="10">
        <v>2</v>
      </c>
      <c r="H295" s="20">
        <v>17.47</v>
      </c>
      <c r="I295" s="21">
        <f>Tableau3[[#This Row],[Stock final]]*Tableau3[[#This Row],[P.U.]]</f>
        <v>34.94</v>
      </c>
      <c r="J295" s="183"/>
      <c r="K295"/>
    </row>
    <row r="296" spans="1:11" ht="20.100000000000001" customHeight="1">
      <c r="A296" s="102" t="s">
        <v>69</v>
      </c>
      <c r="B296" s="102" t="s">
        <v>129</v>
      </c>
      <c r="C296" s="116" t="s">
        <v>57</v>
      </c>
      <c r="D296" s="11" t="s">
        <v>64</v>
      </c>
      <c r="F296" s="19"/>
      <c r="G296" s="10">
        <v>1</v>
      </c>
      <c r="H296" s="20">
        <v>24.98</v>
      </c>
      <c r="I296" s="21">
        <f>Tableau3[[#This Row],[Stock final]]*Tableau3[[#This Row],[P.U.]]</f>
        <v>24.98</v>
      </c>
      <c r="J296" s="183"/>
      <c r="K296"/>
    </row>
    <row r="297" spans="1:11" ht="20.100000000000001" customHeight="1">
      <c r="A297" s="102" t="s">
        <v>69</v>
      </c>
      <c r="B297" s="102" t="s">
        <v>129</v>
      </c>
      <c r="C297" s="116" t="s">
        <v>58</v>
      </c>
      <c r="D297" s="11" t="s">
        <v>63</v>
      </c>
      <c r="F297" s="19"/>
      <c r="G297" s="10">
        <v>2</v>
      </c>
      <c r="H297" s="20">
        <v>33.35</v>
      </c>
      <c r="I297" s="21">
        <f>Tableau3[[#This Row],[Stock final]]*Tableau3[[#This Row],[P.U.]]</f>
        <v>66.7</v>
      </c>
      <c r="J297" s="183"/>
      <c r="K297"/>
    </row>
    <row r="298" spans="1:11" ht="20.100000000000001" customHeight="1">
      <c r="A298" s="102" t="s">
        <v>69</v>
      </c>
      <c r="B298" s="102" t="s">
        <v>129</v>
      </c>
      <c r="C298" s="116" t="s">
        <v>59</v>
      </c>
      <c r="D298" s="11" t="s">
        <v>62</v>
      </c>
      <c r="F298" s="19"/>
      <c r="G298" s="10">
        <v>2</v>
      </c>
      <c r="H298" s="20">
        <v>8.75</v>
      </c>
      <c r="I298" s="21">
        <f>Tableau3[[#This Row],[Stock final]]*Tableau3[[#This Row],[P.U.]]</f>
        <v>17.5</v>
      </c>
      <c r="J298" s="183"/>
      <c r="K298"/>
    </row>
    <row r="299" spans="1:11" ht="20.100000000000001" customHeight="1">
      <c r="A299" s="102" t="s">
        <v>69</v>
      </c>
      <c r="B299" s="102" t="s">
        <v>129</v>
      </c>
      <c r="C299" s="116" t="s">
        <v>60</v>
      </c>
      <c r="D299" s="11" t="s">
        <v>61</v>
      </c>
      <c r="F299" s="19"/>
      <c r="G299" s="10">
        <v>2</v>
      </c>
      <c r="H299" s="20">
        <v>16.010000000000002</v>
      </c>
      <c r="I299" s="21">
        <f>Tableau3[[#This Row],[Stock final]]*Tableau3[[#This Row],[P.U.]]</f>
        <v>32.020000000000003</v>
      </c>
      <c r="J299" s="183"/>
      <c r="K299"/>
    </row>
    <row r="300" spans="1:11" ht="20.100000000000001" customHeight="1">
      <c r="A300" s="102" t="s">
        <v>69</v>
      </c>
      <c r="B300" s="102" t="s">
        <v>129</v>
      </c>
      <c r="C300" s="116" t="s">
        <v>65</v>
      </c>
      <c r="D300" s="11" t="s">
        <v>66</v>
      </c>
      <c r="F300" s="19"/>
      <c r="G300" s="10">
        <v>2</v>
      </c>
      <c r="H300" s="20">
        <v>21.53</v>
      </c>
      <c r="I300" s="21">
        <f>Tableau3[[#This Row],[Stock final]]*Tableau3[[#This Row],[P.U.]]</f>
        <v>43.06</v>
      </c>
      <c r="J300" s="183"/>
      <c r="K300"/>
    </row>
    <row r="301" spans="1:11" ht="20.100000000000001" customHeight="1">
      <c r="A301" s="102" t="s">
        <v>69</v>
      </c>
      <c r="B301" s="102" t="s">
        <v>129</v>
      </c>
      <c r="C301" s="106" t="s">
        <v>145</v>
      </c>
      <c r="D301" s="11" t="s">
        <v>146</v>
      </c>
      <c r="F301" s="19"/>
      <c r="G301" s="10">
        <v>2</v>
      </c>
      <c r="H301" s="20">
        <v>30.77</v>
      </c>
      <c r="I301" s="21">
        <f>Tableau3[[#This Row],[Stock final]]*Tableau3[[#This Row],[P.U.]]</f>
        <v>61.54</v>
      </c>
      <c r="J301" s="183"/>
      <c r="K301"/>
    </row>
    <row r="302" spans="1:11" ht="20.100000000000001" customHeight="1">
      <c r="A302" s="102" t="s">
        <v>69</v>
      </c>
      <c r="B302" s="102" t="s">
        <v>129</v>
      </c>
      <c r="C302" s="106" t="s">
        <v>147</v>
      </c>
      <c r="D302" s="11" t="s">
        <v>148</v>
      </c>
      <c r="F302" s="19"/>
      <c r="G302" s="10">
        <v>0</v>
      </c>
      <c r="H302" s="20">
        <v>61.75</v>
      </c>
      <c r="I302" s="21">
        <f>Tableau3[[#This Row],[Stock final]]*Tableau3[[#This Row],[P.U.]]</f>
        <v>0</v>
      </c>
      <c r="J302" s="183"/>
      <c r="K302"/>
    </row>
    <row r="303" spans="1:11" ht="20.100000000000001" customHeight="1">
      <c r="A303" s="102" t="s">
        <v>69</v>
      </c>
      <c r="B303" s="102"/>
      <c r="C303" s="106"/>
      <c r="F303" s="19"/>
      <c r="G303" s="10"/>
      <c r="H303" s="20"/>
      <c r="I303" s="21">
        <f>Tableau3[[#This Row],[Stock final]]*Tableau3[[#This Row],[P.U.]]</f>
        <v>0</v>
      </c>
      <c r="J303" s="183"/>
      <c r="K303"/>
    </row>
    <row r="304" spans="1:11" ht="20.100000000000001" customHeight="1">
      <c r="A304" s="102" t="s">
        <v>69</v>
      </c>
      <c r="B304" s="102" t="s">
        <v>11</v>
      </c>
      <c r="C304" s="106">
        <v>80193</v>
      </c>
      <c r="D304" s="11" t="s">
        <v>151</v>
      </c>
      <c r="F304" s="19"/>
      <c r="G304" s="10">
        <v>11</v>
      </c>
      <c r="H304" s="20">
        <v>54.61</v>
      </c>
      <c r="I304" s="21">
        <f>Tableau3[[#This Row],[Stock final]]*Tableau3[[#This Row],[P.U.]]</f>
        <v>600.71</v>
      </c>
      <c r="J304" s="183"/>
      <c r="K304"/>
    </row>
    <row r="305" spans="1:11" ht="20.100000000000001" customHeight="1">
      <c r="A305" s="102" t="s">
        <v>69</v>
      </c>
      <c r="B305" s="102" t="s">
        <v>11</v>
      </c>
      <c r="C305" s="106">
        <v>80195</v>
      </c>
      <c r="D305" s="11" t="s">
        <v>152</v>
      </c>
      <c r="F305" s="19"/>
      <c r="G305" s="10">
        <v>1</v>
      </c>
      <c r="H305" s="20">
        <v>58.51</v>
      </c>
      <c r="I305" s="21">
        <f>Tableau3[[#This Row],[Stock final]]*Tableau3[[#This Row],[P.U.]]</f>
        <v>58.51</v>
      </c>
      <c r="J305" s="183"/>
      <c r="K305"/>
    </row>
    <row r="306" spans="1:11" ht="20.100000000000001" customHeight="1">
      <c r="A306" s="102" t="s">
        <v>69</v>
      </c>
      <c r="B306" s="102"/>
      <c r="C306" s="106"/>
      <c r="F306" s="19"/>
      <c r="G306" s="10"/>
      <c r="H306" s="20"/>
      <c r="I306" s="21">
        <f>Tableau3[[#This Row],[Stock final]]*Tableau3[[#This Row],[P.U.]]</f>
        <v>0</v>
      </c>
      <c r="J306" s="183"/>
      <c r="K306"/>
    </row>
    <row r="307" spans="1:11" ht="20.100000000000001" customHeight="1">
      <c r="A307" s="102" t="s">
        <v>69</v>
      </c>
      <c r="B307" s="102" t="s">
        <v>106</v>
      </c>
      <c r="C307" s="116">
        <v>89770</v>
      </c>
      <c r="D307" s="11" t="s">
        <v>107</v>
      </c>
      <c r="F307" s="19"/>
      <c r="G307" s="10">
        <v>1</v>
      </c>
      <c r="H307" s="20">
        <v>45.59</v>
      </c>
      <c r="I307" s="21">
        <f>Tableau3[[#This Row],[Stock final]]*Tableau3[[#This Row],[P.U.]]</f>
        <v>45.59</v>
      </c>
      <c r="J307" s="183"/>
      <c r="K307"/>
    </row>
    <row r="308" spans="1:11" ht="20.100000000000001" customHeight="1">
      <c r="A308" s="102" t="s">
        <v>69</v>
      </c>
      <c r="B308" s="102" t="s">
        <v>106</v>
      </c>
      <c r="C308" s="116">
        <v>89760</v>
      </c>
      <c r="D308" s="11" t="s">
        <v>108</v>
      </c>
      <c r="F308" s="19"/>
      <c r="G308" s="10"/>
      <c r="H308" s="20">
        <v>45.59</v>
      </c>
      <c r="I308" s="21">
        <f>Tableau3[[#This Row],[Stock final]]*Tableau3[[#This Row],[P.U.]]</f>
        <v>0</v>
      </c>
      <c r="J308" s="183"/>
      <c r="K308"/>
    </row>
    <row r="309" spans="1:11" ht="20.100000000000001" customHeight="1">
      <c r="A309" s="102" t="s">
        <v>69</v>
      </c>
      <c r="B309" s="102" t="s">
        <v>106</v>
      </c>
      <c r="C309" s="116">
        <v>89768</v>
      </c>
      <c r="D309" s="11" t="s">
        <v>109</v>
      </c>
      <c r="F309" s="19"/>
      <c r="G309" s="10"/>
      <c r="H309" s="20">
        <v>81.72</v>
      </c>
      <c r="I309" s="21">
        <f>Tableau3[[#This Row],[Stock final]]*Tableau3[[#This Row],[P.U.]]</f>
        <v>0</v>
      </c>
      <c r="J309" s="183"/>
      <c r="K309"/>
    </row>
    <row r="310" spans="1:11" ht="20.100000000000001" customHeight="1">
      <c r="A310" s="102" t="s">
        <v>69</v>
      </c>
      <c r="B310" s="102" t="s">
        <v>106</v>
      </c>
      <c r="C310" s="116">
        <v>81988</v>
      </c>
      <c r="D310" s="11" t="s">
        <v>149</v>
      </c>
      <c r="F310" s="19"/>
      <c r="G310" s="10">
        <v>22</v>
      </c>
      <c r="H310" s="20">
        <v>10.72</v>
      </c>
      <c r="I310" s="21">
        <f>Tableau3[[#This Row],[Stock final]]*Tableau3[[#This Row],[P.U.]]</f>
        <v>235.84</v>
      </c>
      <c r="J310" s="183"/>
      <c r="K310"/>
    </row>
    <row r="311" spans="1:11" ht="20.100000000000001" customHeight="1">
      <c r="A311" s="102" t="s">
        <v>69</v>
      </c>
      <c r="B311" s="102" t="s">
        <v>106</v>
      </c>
      <c r="C311" s="106">
        <v>80188</v>
      </c>
      <c r="D311" s="11" t="s">
        <v>150</v>
      </c>
      <c r="F311" s="19"/>
      <c r="G311" s="10"/>
      <c r="H311" s="20">
        <v>2.65</v>
      </c>
      <c r="I311" s="21">
        <f>Tableau3[[#This Row],[Stock final]]*Tableau3[[#This Row],[P.U.]]</f>
        <v>0</v>
      </c>
      <c r="J311" s="183"/>
      <c r="K311"/>
    </row>
    <row r="312" spans="1:11" ht="20.100000000000001" customHeight="1">
      <c r="A312" s="102" t="s">
        <v>69</v>
      </c>
      <c r="B312" s="102"/>
      <c r="C312" s="106"/>
      <c r="F312" s="19"/>
      <c r="G312" s="10"/>
      <c r="H312" s="20"/>
      <c r="I312" s="21">
        <f>Tableau3[[#This Row],[Stock final]]*Tableau3[[#This Row],[P.U.]]</f>
        <v>0</v>
      </c>
      <c r="J312" s="183"/>
      <c r="K312"/>
    </row>
    <row r="313" spans="1:11" ht="20.100000000000001" customHeight="1">
      <c r="A313" s="102" t="s">
        <v>69</v>
      </c>
      <c r="B313" s="102"/>
      <c r="C313" s="106"/>
      <c r="F313" s="19"/>
      <c r="G313" s="10"/>
      <c r="H313" s="20"/>
      <c r="I313" s="21">
        <f>Tableau3[[#This Row],[Stock final]]*Tableau3[[#This Row],[P.U.]]</f>
        <v>0</v>
      </c>
      <c r="J313" s="183"/>
      <c r="K313"/>
    </row>
    <row r="314" spans="1:11" ht="20.100000000000001" customHeight="1">
      <c r="A314" s="102"/>
      <c r="B314" s="102"/>
      <c r="C314" s="116"/>
      <c r="F314" s="107"/>
      <c r="G314" s="10"/>
      <c r="H314" s="103"/>
      <c r="I314" s="108">
        <f>Tableau3[[#This Row],[Stock final]]*Tableau3[[#This Row],[P.U.]]</f>
        <v>0</v>
      </c>
      <c r="J314" s="183"/>
      <c r="K314"/>
    </row>
    <row r="315" spans="1:11" ht="20.100000000000001" customHeight="1">
      <c r="A315" s="102"/>
      <c r="B315" s="102"/>
      <c r="C315" s="116"/>
      <c r="F315" s="107"/>
      <c r="G315" s="10"/>
      <c r="H315" s="103"/>
      <c r="I315" s="108">
        <f>Tableau3[[#This Row],[Stock final]]*Tableau3[[#This Row],[P.U.]]</f>
        <v>0</v>
      </c>
      <c r="J315" s="183"/>
      <c r="K315"/>
    </row>
    <row r="316" spans="1:11" ht="20.100000000000001" customHeight="1">
      <c r="A316" s="102"/>
      <c r="B316" s="102"/>
      <c r="C316" s="116"/>
      <c r="F316" s="107"/>
      <c r="G316" s="10"/>
      <c r="H316" s="103"/>
      <c r="I316" s="108">
        <f>Tableau3[[#This Row],[Stock final]]*Tableau3[[#This Row],[P.U.]]</f>
        <v>0</v>
      </c>
      <c r="J316" s="183"/>
      <c r="K316"/>
    </row>
    <row r="317" spans="1:11" ht="20.100000000000001" customHeight="1">
      <c r="A317" s="102"/>
      <c r="B317" s="102"/>
      <c r="C317" s="116"/>
      <c r="F317" s="107"/>
      <c r="G317" s="10"/>
      <c r="H317" s="103"/>
      <c r="I317" s="108">
        <f>Tableau3[[#This Row],[Stock final]]*Tableau3[[#This Row],[P.U.]]</f>
        <v>0</v>
      </c>
      <c r="J317" s="183"/>
      <c r="K317"/>
    </row>
    <row r="318" spans="1:11" ht="20.100000000000001" customHeight="1">
      <c r="A318" s="102"/>
      <c r="B318" s="102"/>
      <c r="C318" s="116"/>
      <c r="F318" s="107"/>
      <c r="G318" s="10"/>
      <c r="H318" s="103"/>
      <c r="I318" s="108">
        <f>Tableau3[[#This Row],[Stock final]]*Tableau3[[#This Row],[P.U.]]</f>
        <v>0</v>
      </c>
      <c r="J318" s="183"/>
      <c r="K318"/>
    </row>
    <row r="319" spans="1:11" ht="20.100000000000001" customHeight="1">
      <c r="A319" s="102"/>
      <c r="B319" s="102"/>
      <c r="C319" s="116"/>
      <c r="F319" s="107"/>
      <c r="G319" s="10"/>
      <c r="H319" s="103"/>
      <c r="I319" s="108">
        <f>Tableau3[[#This Row],[Stock final]]*Tableau3[[#This Row],[P.U.]]</f>
        <v>0</v>
      </c>
      <c r="J319" s="183"/>
      <c r="K319"/>
    </row>
    <row r="320" spans="1:11" ht="20.100000000000001" customHeight="1">
      <c r="A320" s="102"/>
      <c r="B320" s="102"/>
      <c r="C320" s="116"/>
      <c r="F320" s="107"/>
      <c r="G320" s="10"/>
      <c r="H320" s="103"/>
      <c r="I320" s="108">
        <f>Tableau3[[#This Row],[Stock final]]*Tableau3[[#This Row],[P.U.]]</f>
        <v>0</v>
      </c>
      <c r="J320" s="183"/>
      <c r="K320"/>
    </row>
    <row r="321" spans="1:11" ht="20.100000000000001" customHeight="1">
      <c r="A321" s="102"/>
      <c r="B321" s="102"/>
      <c r="C321" s="116"/>
      <c r="F321" s="107"/>
      <c r="G321" s="10"/>
      <c r="H321" s="103"/>
      <c r="I321" s="108">
        <f>Tableau3[[#This Row],[Stock final]]*Tableau3[[#This Row],[P.U.]]</f>
        <v>0</v>
      </c>
      <c r="J321" s="183"/>
      <c r="K321"/>
    </row>
    <row r="322" spans="1:11" ht="20.100000000000001" customHeight="1">
      <c r="A322" s="102"/>
      <c r="B322" s="102"/>
      <c r="C322" s="116"/>
      <c r="F322" s="107"/>
      <c r="G322" s="10"/>
      <c r="H322" s="103"/>
      <c r="I322" s="108">
        <f>Tableau3[[#This Row],[Stock final]]*Tableau3[[#This Row],[P.U.]]</f>
        <v>0</v>
      </c>
      <c r="J322" s="183"/>
      <c r="K322"/>
    </row>
    <row r="323" spans="1:11" ht="20.100000000000001" customHeight="1">
      <c r="A323" s="102"/>
      <c r="B323" s="102"/>
      <c r="C323" s="116"/>
      <c r="F323" s="107"/>
      <c r="G323" s="10"/>
      <c r="H323" s="103"/>
      <c r="I323" s="108">
        <f>Tableau3[[#This Row],[Stock final]]*Tableau3[[#This Row],[P.U.]]</f>
        <v>0</v>
      </c>
      <c r="J323" s="183"/>
      <c r="K323"/>
    </row>
    <row r="324" spans="1:11" ht="20.100000000000001" customHeight="1">
      <c r="A324" s="102"/>
      <c r="B324" s="102"/>
      <c r="C324" s="116"/>
      <c r="F324" s="107"/>
      <c r="G324" s="10"/>
      <c r="H324" s="103"/>
      <c r="I324" s="108">
        <f>Tableau3[[#This Row],[Stock final]]*Tableau3[[#This Row],[P.U.]]</f>
        <v>0</v>
      </c>
      <c r="J324" s="183"/>
      <c r="K324"/>
    </row>
    <row r="325" spans="1:11" ht="20.100000000000001" customHeight="1">
      <c r="A325" s="102"/>
      <c r="B325" s="102"/>
      <c r="C325" s="116"/>
      <c r="F325" s="107"/>
      <c r="G325" s="10"/>
      <c r="H325" s="103"/>
      <c r="I325" s="108">
        <f>Tableau3[[#This Row],[Stock final]]*Tableau3[[#This Row],[P.U.]]</f>
        <v>0</v>
      </c>
      <c r="J325" s="183"/>
      <c r="K325"/>
    </row>
    <row r="326" spans="1:11" ht="20.100000000000001" customHeight="1">
      <c r="A326" s="102"/>
      <c r="B326" s="102"/>
      <c r="C326" s="116"/>
      <c r="F326" s="107"/>
      <c r="G326" s="10"/>
      <c r="H326" s="103"/>
      <c r="I326" s="108">
        <f>Tableau3[[#This Row],[Stock final]]*Tableau3[[#This Row],[P.U.]]</f>
        <v>0</v>
      </c>
      <c r="J326" s="183"/>
      <c r="K326"/>
    </row>
    <row r="327" spans="1:11" ht="20.100000000000001" customHeight="1">
      <c r="A327" s="102"/>
      <c r="B327" s="102"/>
      <c r="C327" s="116"/>
      <c r="F327" s="107"/>
      <c r="G327" s="10"/>
      <c r="H327" s="103"/>
      <c r="I327" s="108">
        <f>Tableau3[[#This Row],[Stock final]]*Tableau3[[#This Row],[P.U.]]</f>
        <v>0</v>
      </c>
      <c r="J327" s="183"/>
      <c r="K327"/>
    </row>
    <row r="328" spans="1:11" ht="20.100000000000001" customHeight="1">
      <c r="A328" s="102"/>
      <c r="B328" s="102"/>
      <c r="C328" s="116"/>
      <c r="F328" s="107"/>
      <c r="G328" s="10"/>
      <c r="H328" s="103"/>
      <c r="I328" s="108">
        <f>Tableau3[[#This Row],[Stock final]]*Tableau3[[#This Row],[P.U.]]</f>
        <v>0</v>
      </c>
      <c r="J328" s="183"/>
      <c r="K328"/>
    </row>
    <row r="329" spans="1:11" ht="20.100000000000001" customHeight="1">
      <c r="A329" s="102"/>
      <c r="B329" s="102"/>
      <c r="C329" s="116"/>
      <c r="F329" s="107"/>
      <c r="G329" s="10"/>
      <c r="H329" s="103"/>
      <c r="I329" s="108">
        <f>Tableau3[[#This Row],[Stock final]]*Tableau3[[#This Row],[P.U.]]</f>
        <v>0</v>
      </c>
      <c r="J329" s="183"/>
      <c r="K329"/>
    </row>
    <row r="330" spans="1:11" ht="20.100000000000001" customHeight="1">
      <c r="A330" s="102"/>
      <c r="B330" s="102"/>
      <c r="C330" s="116"/>
      <c r="F330" s="107"/>
      <c r="G330" s="10"/>
      <c r="H330" s="103"/>
      <c r="I330" s="108">
        <f>Tableau3[[#This Row],[Stock final]]*Tableau3[[#This Row],[P.U.]]</f>
        <v>0</v>
      </c>
      <c r="J330" s="183"/>
      <c r="K330"/>
    </row>
    <row r="331" spans="1:11" ht="20.100000000000001" customHeight="1">
      <c r="A331" s="102"/>
      <c r="B331" s="102"/>
      <c r="C331" s="116"/>
      <c r="F331" s="107"/>
      <c r="G331" s="10"/>
      <c r="H331" s="103"/>
      <c r="I331" s="108">
        <f>Tableau3[[#This Row],[Stock final]]*Tableau3[[#This Row],[P.U.]]</f>
        <v>0</v>
      </c>
      <c r="J331" s="183"/>
      <c r="K331"/>
    </row>
    <row r="332" spans="1:11" ht="20.100000000000001" customHeight="1">
      <c r="A332" s="102" t="s">
        <v>69</v>
      </c>
      <c r="B332" s="57"/>
      <c r="C332" s="116"/>
      <c r="F332" s="19"/>
      <c r="G332" s="10"/>
      <c r="H332" s="20"/>
      <c r="I332" s="21">
        <f>Tableau3[[#This Row],[Stock final]]*Tableau3[[#This Row],[P.U.]]</f>
        <v>0</v>
      </c>
      <c r="J332" s="183"/>
      <c r="K332"/>
    </row>
    <row r="333" spans="1:11" ht="15.75">
      <c r="A333" s="105" t="s">
        <v>69</v>
      </c>
      <c r="B333" s="139"/>
      <c r="C333" s="116"/>
      <c r="F333" s="41"/>
      <c r="G333" s="10"/>
      <c r="H333" s="42"/>
      <c r="I333" s="43">
        <f>Tableau3[[#This Row],[Stock final]]*Tableau3[[#This Row],[P.U.]]</f>
        <v>0</v>
      </c>
      <c r="J333" s="183"/>
      <c r="K333"/>
    </row>
    <row r="334" spans="1:11" ht="15.75">
      <c r="A334" s="102" t="s">
        <v>69</v>
      </c>
      <c r="B334" s="40"/>
      <c r="C334" s="116"/>
      <c r="F334" s="41"/>
      <c r="G334" s="10"/>
      <c r="H334" s="42"/>
      <c r="I334" s="43">
        <f>Tableau3[[#This Row],[Stock final]]*Tableau3[[#This Row],[P.U.]]</f>
        <v>0</v>
      </c>
      <c r="J334" s="183"/>
      <c r="K334"/>
    </row>
    <row r="335" spans="1:11" ht="15.75">
      <c r="A335" s="102" t="s">
        <v>69</v>
      </c>
      <c r="B335" s="40"/>
      <c r="C335" s="116"/>
      <c r="F335" s="41"/>
      <c r="G335" s="10"/>
      <c r="H335" s="42"/>
      <c r="I335" s="43">
        <f>Tableau3[[#This Row],[Stock final]]*Tableau3[[#This Row],[P.U.]]</f>
        <v>0</v>
      </c>
      <c r="J335" s="183"/>
      <c r="K335"/>
    </row>
    <row r="336" spans="1:11" ht="15.75">
      <c r="A336" s="102" t="s">
        <v>69</v>
      </c>
      <c r="B336" s="40"/>
      <c r="C336" s="116"/>
      <c r="F336" s="41"/>
      <c r="G336" s="10"/>
      <c r="H336" s="42"/>
      <c r="I336" s="43">
        <f>Tableau3[[#This Row],[Stock final]]*Tableau3[[#This Row],[P.U.]]</f>
        <v>0</v>
      </c>
      <c r="J336" s="183"/>
      <c r="K336"/>
    </row>
    <row r="337" spans="1:11" ht="15.75">
      <c r="A337" s="102" t="s">
        <v>69</v>
      </c>
      <c r="B337" s="102"/>
      <c r="C337" s="116"/>
      <c r="F337" s="41"/>
      <c r="G337" s="10"/>
      <c r="H337" s="42"/>
      <c r="I337" s="43">
        <f>Tableau3[[#This Row],[Stock final]]*Tableau3[[#This Row],[P.U.]]</f>
        <v>0</v>
      </c>
      <c r="J337" s="183"/>
      <c r="K337"/>
    </row>
    <row r="338" spans="1:11" ht="15.75">
      <c r="A338" s="102" t="s">
        <v>69</v>
      </c>
      <c r="B338" s="102"/>
      <c r="C338" s="116"/>
      <c r="F338" s="41"/>
      <c r="G338" s="10"/>
      <c r="H338" s="42"/>
      <c r="I338" s="43">
        <f>Tableau3[[#This Row],[Stock final]]*Tableau3[[#This Row],[P.U.]]</f>
        <v>0</v>
      </c>
      <c r="J338" s="183"/>
      <c r="K338"/>
    </row>
    <row r="339" spans="1:11" ht="15.75">
      <c r="A339" s="102" t="s">
        <v>69</v>
      </c>
      <c r="B339" s="40"/>
      <c r="C339" s="116"/>
      <c r="F339" s="41"/>
      <c r="G339" s="10"/>
      <c r="H339" s="42"/>
      <c r="I339" s="43">
        <f>Tableau3[[#This Row],[Stock final]]*Tableau3[[#This Row],[P.U.]]</f>
        <v>0</v>
      </c>
      <c r="J339" s="183"/>
      <c r="K339"/>
    </row>
    <row r="340" spans="1:11" ht="15.75">
      <c r="A340" s="102" t="s">
        <v>69</v>
      </c>
      <c r="B340" s="40"/>
      <c r="C340" s="116"/>
      <c r="F340" s="41"/>
      <c r="G340" s="10"/>
      <c r="H340" s="42"/>
      <c r="I340" s="43">
        <f>Tableau3[[#This Row],[Stock final]]*Tableau3[[#This Row],[P.U.]]</f>
        <v>0</v>
      </c>
      <c r="J340" s="183"/>
      <c r="K340"/>
    </row>
    <row r="341" spans="1:11" ht="15.75">
      <c r="A341" s="102" t="s">
        <v>69</v>
      </c>
      <c r="B341" s="40"/>
      <c r="C341" s="116"/>
      <c r="F341" s="41"/>
      <c r="G341" s="10"/>
      <c r="H341" s="42"/>
      <c r="I341" s="43">
        <f>Tableau3[[#This Row],[Stock final]]*Tableau3[[#This Row],[P.U.]]</f>
        <v>0</v>
      </c>
      <c r="J341" s="183"/>
      <c r="K341"/>
    </row>
    <row r="342" spans="1:11" ht="15.75">
      <c r="A342" s="102" t="s">
        <v>69</v>
      </c>
      <c r="B342" s="40"/>
      <c r="C342" s="116"/>
      <c r="F342" s="41"/>
      <c r="G342" s="10"/>
      <c r="H342" s="42"/>
      <c r="I342" s="43">
        <f>Tableau3[[#This Row],[Stock final]]*Tableau3[[#This Row],[P.U.]]</f>
        <v>0</v>
      </c>
      <c r="J342" s="183"/>
      <c r="K342"/>
    </row>
    <row r="343" spans="1:11" ht="15.75">
      <c r="A343" s="102" t="s">
        <v>69</v>
      </c>
      <c r="B343" s="40"/>
      <c r="C343" s="116"/>
      <c r="F343" s="41"/>
      <c r="G343" s="10"/>
      <c r="H343" s="42"/>
      <c r="I343" s="43">
        <f>Tableau3[[#This Row],[Stock final]]*Tableau3[[#This Row],[P.U.]]</f>
        <v>0</v>
      </c>
      <c r="J343" s="183"/>
      <c r="K343"/>
    </row>
    <row r="344" spans="1:11" ht="15.75">
      <c r="A344" s="102" t="s">
        <v>69</v>
      </c>
      <c r="B344" s="40"/>
      <c r="C344" s="116"/>
      <c r="F344" s="41"/>
      <c r="G344" s="10"/>
      <c r="H344" s="42"/>
      <c r="I344" s="43">
        <f>Tableau3[[#This Row],[Stock final]]*Tableau3[[#This Row],[P.U.]]</f>
        <v>0</v>
      </c>
      <c r="J344" s="183"/>
      <c r="K344"/>
    </row>
    <row r="345" spans="1:11" ht="15.75">
      <c r="A345" s="102" t="s">
        <v>69</v>
      </c>
      <c r="B345" s="40"/>
      <c r="C345" s="116"/>
      <c r="F345" s="41"/>
      <c r="G345" s="10"/>
      <c r="H345" s="42"/>
      <c r="I345" s="43">
        <f>Tableau3[[#This Row],[Stock final]]*Tableau3[[#This Row],[P.U.]]</f>
        <v>0</v>
      </c>
      <c r="J345" s="183"/>
      <c r="K345"/>
    </row>
    <row r="346" spans="1:11" ht="15.75">
      <c r="A346" s="102" t="s">
        <v>69</v>
      </c>
      <c r="B346" s="40"/>
      <c r="C346" s="116"/>
      <c r="F346" s="41"/>
      <c r="G346" s="10"/>
      <c r="H346" s="42"/>
      <c r="I346" s="43">
        <f>Tableau3[[#This Row],[Stock final]]*Tableau3[[#This Row],[P.U.]]</f>
        <v>0</v>
      </c>
      <c r="J346" s="183"/>
      <c r="K346"/>
    </row>
    <row r="347" spans="1:11" ht="15.75">
      <c r="A347" s="102" t="s">
        <v>69</v>
      </c>
      <c r="B347" s="40"/>
      <c r="C347" s="116"/>
      <c r="F347" s="41"/>
      <c r="G347" s="10"/>
      <c r="H347" s="42"/>
      <c r="I347" s="43">
        <f>Tableau3[[#This Row],[Stock final]]*Tableau3[[#This Row],[P.U.]]</f>
        <v>0</v>
      </c>
      <c r="J347" s="183"/>
      <c r="K347"/>
    </row>
    <row r="348" spans="1:11" ht="15.75">
      <c r="A348" s="102" t="s">
        <v>69</v>
      </c>
      <c r="B348" s="40"/>
      <c r="C348" s="116"/>
      <c r="F348" s="41"/>
      <c r="G348" s="10"/>
      <c r="H348" s="103"/>
      <c r="I348" s="43">
        <f>Tableau3[[#This Row],[Stock final]]*Tableau3[[#This Row],[P.U.]]</f>
        <v>0</v>
      </c>
      <c r="J348" s="183"/>
      <c r="K348"/>
    </row>
    <row r="349" spans="1:11" ht="15.75">
      <c r="A349" s="102" t="s">
        <v>69</v>
      </c>
      <c r="B349" s="40"/>
      <c r="C349" s="116"/>
      <c r="F349" s="41"/>
      <c r="G349" s="10"/>
      <c r="H349" s="42"/>
      <c r="I349" s="43">
        <f>Tableau3[[#This Row],[Stock final]]*Tableau3[[#This Row],[P.U.]]</f>
        <v>0</v>
      </c>
      <c r="J349" s="183"/>
      <c r="K349"/>
    </row>
    <row r="350" spans="1:11" ht="15.75">
      <c r="A350" s="102" t="s">
        <v>69</v>
      </c>
      <c r="B350" s="40"/>
      <c r="C350" s="116"/>
      <c r="F350" s="41"/>
      <c r="G350" s="10"/>
      <c r="H350" s="42"/>
      <c r="I350" s="43">
        <f>Tableau3[[#This Row],[Stock final]]*Tableau3[[#This Row],[P.U.]]</f>
        <v>0</v>
      </c>
      <c r="J350" s="183"/>
      <c r="K350"/>
    </row>
    <row r="351" spans="1:11" ht="15.75">
      <c r="A351" s="102" t="s">
        <v>69</v>
      </c>
      <c r="B351" s="40"/>
      <c r="C351" s="116"/>
      <c r="F351" s="41"/>
      <c r="G351" s="10"/>
      <c r="H351" s="42"/>
      <c r="I351" s="43">
        <f>Tableau3[[#This Row],[Stock final]]*Tableau3[[#This Row],[P.U.]]</f>
        <v>0</v>
      </c>
      <c r="J351" s="183"/>
      <c r="K351"/>
    </row>
    <row r="352" spans="1:11" ht="15.75">
      <c r="A352" s="102" t="s">
        <v>69</v>
      </c>
      <c r="B352" s="40"/>
      <c r="C352" s="116"/>
      <c r="F352" s="41"/>
      <c r="G352" s="10"/>
      <c r="H352" s="42"/>
      <c r="I352" s="43">
        <f>Tableau3[[#This Row],[Stock final]]*Tableau3[[#This Row],[P.U.]]</f>
        <v>0</v>
      </c>
      <c r="J352" s="183"/>
      <c r="K352"/>
    </row>
    <row r="353" spans="1:11" ht="15.75">
      <c r="A353" s="102" t="s">
        <v>69</v>
      </c>
      <c r="B353" s="40"/>
      <c r="C353" s="116"/>
      <c r="F353" s="41"/>
      <c r="G353" s="10"/>
      <c r="H353" s="42"/>
      <c r="I353" s="43">
        <f>Tableau3[[#This Row],[Stock final]]*Tableau3[[#This Row],[P.U.]]</f>
        <v>0</v>
      </c>
      <c r="J353" s="183"/>
      <c r="K353"/>
    </row>
    <row r="354" spans="1:11" ht="15.75">
      <c r="A354" s="102" t="s">
        <v>69</v>
      </c>
      <c r="B354" s="40"/>
      <c r="C354" s="116"/>
      <c r="F354" s="41"/>
      <c r="G354" s="10"/>
      <c r="H354" s="42"/>
      <c r="I354" s="43">
        <f>Tableau3[[#This Row],[Stock final]]*Tableau3[[#This Row],[P.U.]]</f>
        <v>0</v>
      </c>
      <c r="J354" s="183"/>
      <c r="K354"/>
    </row>
    <row r="355" spans="1:11" ht="15.75">
      <c r="A355" s="102" t="s">
        <v>69</v>
      </c>
      <c r="B355" s="40"/>
      <c r="C355" s="116"/>
      <c r="F355" s="41"/>
      <c r="G355" s="10"/>
      <c r="H355" s="42"/>
      <c r="I355" s="43">
        <f>Tableau3[[#This Row],[Stock final]]*Tableau3[[#This Row],[P.U.]]</f>
        <v>0</v>
      </c>
      <c r="J355" s="183"/>
      <c r="K355"/>
    </row>
    <row r="356" spans="1:11" ht="15.75">
      <c r="A356" s="102" t="s">
        <v>69</v>
      </c>
      <c r="B356" s="40"/>
      <c r="C356" s="116"/>
      <c r="F356" s="41"/>
      <c r="G356" s="10"/>
      <c r="H356" s="42"/>
      <c r="I356" s="43">
        <f>Tableau3[[#This Row],[Stock final]]*Tableau3[[#This Row],[P.U.]]</f>
        <v>0</v>
      </c>
      <c r="J356" s="183"/>
      <c r="K356"/>
    </row>
    <row r="357" spans="1:11" ht="15.75">
      <c r="A357" s="102" t="s">
        <v>69</v>
      </c>
      <c r="B357" s="40"/>
      <c r="C357" s="116"/>
      <c r="F357" s="41"/>
      <c r="G357" s="10"/>
      <c r="H357" s="42"/>
      <c r="I357" s="43">
        <f>Tableau3[[#This Row],[Stock final]]*Tableau3[[#This Row],[P.U.]]</f>
        <v>0</v>
      </c>
      <c r="J357" s="183"/>
      <c r="K357"/>
    </row>
    <row r="358" spans="1:11" ht="15.75">
      <c r="A358" s="102" t="s">
        <v>69</v>
      </c>
      <c r="B358" s="40"/>
      <c r="C358" s="116"/>
      <c r="F358" s="41"/>
      <c r="G358" s="10"/>
      <c r="H358" s="42"/>
      <c r="I358" s="43">
        <f>Tableau3[[#This Row],[Stock final]]*Tableau3[[#This Row],[P.U.]]</f>
        <v>0</v>
      </c>
      <c r="J358" s="183"/>
      <c r="K358"/>
    </row>
    <row r="359" spans="1:11" ht="15.75">
      <c r="A359" s="102" t="s">
        <v>69</v>
      </c>
      <c r="B359" s="40"/>
      <c r="C359" s="116"/>
      <c r="F359" s="41"/>
      <c r="G359" s="10"/>
      <c r="H359" s="42"/>
      <c r="I359" s="43">
        <f>Tableau3[[#This Row],[Stock final]]*Tableau3[[#This Row],[P.U.]]</f>
        <v>0</v>
      </c>
      <c r="J359" s="183"/>
      <c r="K359"/>
    </row>
    <row r="360" spans="1:11" ht="15.75">
      <c r="A360" s="102" t="s">
        <v>69</v>
      </c>
      <c r="B360" s="40"/>
      <c r="C360" s="116"/>
      <c r="F360" s="41"/>
      <c r="G360" s="10"/>
      <c r="H360" s="42"/>
      <c r="I360" s="43">
        <f>Tableau3[[#This Row],[Stock final]]*Tableau3[[#This Row],[P.U.]]</f>
        <v>0</v>
      </c>
      <c r="J360" s="183"/>
      <c r="K360"/>
    </row>
    <row r="361" spans="1:11" ht="15.75">
      <c r="A361" s="102" t="s">
        <v>69</v>
      </c>
      <c r="B361" s="40"/>
      <c r="C361" s="116"/>
      <c r="F361" s="41"/>
      <c r="G361" s="10"/>
      <c r="H361" s="42"/>
      <c r="I361" s="43">
        <f>Tableau3[[#This Row],[Stock final]]*Tableau3[[#This Row],[P.U.]]</f>
        <v>0</v>
      </c>
      <c r="J361" s="183"/>
      <c r="K361"/>
    </row>
    <row r="362" spans="1:11" ht="15.75">
      <c r="A362" s="102" t="s">
        <v>69</v>
      </c>
      <c r="B362" s="40"/>
      <c r="C362" s="116"/>
      <c r="F362" s="41"/>
      <c r="G362" s="10"/>
      <c r="H362" s="42"/>
      <c r="I362" s="43">
        <f>Tableau3[[#This Row],[Stock final]]*Tableau3[[#This Row],[P.U.]]</f>
        <v>0</v>
      </c>
      <c r="J362" s="183"/>
      <c r="K362"/>
    </row>
    <row r="363" spans="1:11" ht="15.75">
      <c r="A363" s="102" t="s">
        <v>69</v>
      </c>
      <c r="B363" s="40"/>
      <c r="C363" s="146"/>
      <c r="F363" s="41"/>
      <c r="G363" s="10"/>
      <c r="H363" s="42"/>
      <c r="I363" s="43">
        <f>Tableau3[[#This Row],[Stock final]]*Tableau3[[#This Row],[P.U.]]</f>
        <v>0</v>
      </c>
      <c r="J363" s="183"/>
      <c r="K363"/>
    </row>
    <row r="364" spans="1:11" ht="15.75">
      <c r="A364" s="102" t="s">
        <v>69</v>
      </c>
      <c r="B364" s="40"/>
      <c r="C364" s="116"/>
      <c r="F364" s="41"/>
      <c r="G364" s="10"/>
      <c r="H364" s="42"/>
      <c r="I364" s="43">
        <f>Tableau3[[#This Row],[Stock final]]*Tableau3[[#This Row],[P.U.]]</f>
        <v>0</v>
      </c>
      <c r="J364" s="183"/>
      <c r="K364"/>
    </row>
    <row r="365" spans="1:11" ht="15.75">
      <c r="A365" s="102" t="s">
        <v>69</v>
      </c>
      <c r="B365" s="40"/>
      <c r="C365" s="116"/>
      <c r="F365" s="41"/>
      <c r="G365" s="10"/>
      <c r="H365" s="42"/>
      <c r="I365" s="43">
        <f>Tableau3[[#This Row],[Stock final]]*Tableau3[[#This Row],[P.U.]]</f>
        <v>0</v>
      </c>
      <c r="J365" s="183"/>
      <c r="K365"/>
    </row>
    <row r="366" spans="1:11" ht="15.75">
      <c r="A366" s="102" t="s">
        <v>69</v>
      </c>
      <c r="B366" s="40"/>
      <c r="C366" s="116"/>
      <c r="F366" s="41"/>
      <c r="G366" s="10"/>
      <c r="H366" s="42"/>
      <c r="I366" s="43">
        <f>Tableau3[[#This Row],[Stock final]]*Tableau3[[#This Row],[P.U.]]</f>
        <v>0</v>
      </c>
      <c r="J366" s="183"/>
      <c r="K366"/>
    </row>
    <row r="367" spans="1:11" ht="15.75">
      <c r="A367" s="102" t="s">
        <v>69</v>
      </c>
      <c r="B367" s="40"/>
      <c r="C367" s="116"/>
      <c r="F367" s="41"/>
      <c r="G367" s="10"/>
      <c r="H367" s="42"/>
      <c r="I367" s="43">
        <f>Tableau3[[#This Row],[Stock final]]*Tableau3[[#This Row],[P.U.]]</f>
        <v>0</v>
      </c>
      <c r="J367" s="183"/>
      <c r="K367"/>
    </row>
    <row r="368" spans="1:11" ht="15.75">
      <c r="A368" s="102" t="s">
        <v>70</v>
      </c>
      <c r="B368" s="102" t="s">
        <v>31</v>
      </c>
      <c r="C368" s="116" t="s">
        <v>34</v>
      </c>
      <c r="D368" s="11" t="s">
        <v>35</v>
      </c>
      <c r="F368" s="41"/>
      <c r="G368" s="10">
        <v>7</v>
      </c>
      <c r="H368" s="42">
        <v>40.590000000000003</v>
      </c>
      <c r="I368" s="43">
        <f>Tableau3[[#This Row],[Stock final]]*Tableau3[[#This Row],[P.U.]]</f>
        <v>284.13</v>
      </c>
      <c r="J368" s="183"/>
      <c r="K368"/>
    </row>
    <row r="369" spans="1:11" ht="15.75">
      <c r="A369" s="102" t="s">
        <v>70</v>
      </c>
      <c r="B369" s="102" t="s">
        <v>31</v>
      </c>
      <c r="C369" s="116" t="s">
        <v>32</v>
      </c>
      <c r="D369" s="11" t="s">
        <v>33</v>
      </c>
      <c r="F369" s="41"/>
      <c r="G369" s="10">
        <v>6</v>
      </c>
      <c r="H369" s="42">
        <v>25.47</v>
      </c>
      <c r="I369" s="43">
        <f>Tableau3[[#This Row],[Stock final]]*Tableau3[[#This Row],[P.U.]]</f>
        <v>152.82</v>
      </c>
      <c r="J369" s="183"/>
      <c r="K369"/>
    </row>
    <row r="370" spans="1:11" ht="15.75">
      <c r="A370" s="102" t="s">
        <v>70</v>
      </c>
      <c r="B370" s="102" t="s">
        <v>31</v>
      </c>
      <c r="C370" s="116" t="s">
        <v>36</v>
      </c>
      <c r="D370" s="11" t="s">
        <v>37</v>
      </c>
      <c r="F370" s="41"/>
      <c r="G370" s="10">
        <v>5</v>
      </c>
      <c r="H370" s="42">
        <v>64</v>
      </c>
      <c r="I370" s="43">
        <f>Tableau3[[#This Row],[Stock final]]*Tableau3[[#This Row],[P.U.]]</f>
        <v>320</v>
      </c>
      <c r="J370" s="183"/>
      <c r="K370"/>
    </row>
    <row r="371" spans="1:11" ht="15.75">
      <c r="A371" s="102" t="s">
        <v>70</v>
      </c>
      <c r="B371" s="102" t="s">
        <v>31</v>
      </c>
      <c r="C371" s="116">
        <v>221612</v>
      </c>
      <c r="D371" s="11" t="s">
        <v>82</v>
      </c>
      <c r="F371" s="41"/>
      <c r="G371" s="10">
        <v>0</v>
      </c>
      <c r="H371" s="42">
        <v>34</v>
      </c>
      <c r="I371" s="43">
        <f>Tableau3[[#This Row],[Stock final]]*Tableau3[[#This Row],[P.U.]]</f>
        <v>0</v>
      </c>
      <c r="J371" s="183"/>
      <c r="K371"/>
    </row>
    <row r="372" spans="1:11" ht="15.75">
      <c r="A372" s="102" t="s">
        <v>70</v>
      </c>
      <c r="B372" s="102" t="s">
        <v>31</v>
      </c>
      <c r="C372" s="116">
        <v>221613</v>
      </c>
      <c r="D372" s="11" t="s">
        <v>83</v>
      </c>
      <c r="F372" s="41"/>
      <c r="G372" s="10">
        <v>2</v>
      </c>
      <c r="H372" s="42">
        <v>48</v>
      </c>
      <c r="I372" s="43">
        <f>Tableau3[[#This Row],[Stock final]]*Tableau3[[#This Row],[P.U.]]</f>
        <v>96</v>
      </c>
      <c r="J372" s="183"/>
      <c r="K372"/>
    </row>
    <row r="373" spans="1:11" ht="15.75">
      <c r="A373" s="105" t="s">
        <v>70</v>
      </c>
      <c r="B373" s="105" t="s">
        <v>31</v>
      </c>
      <c r="C373" s="116">
        <v>70052</v>
      </c>
      <c r="D373" s="11" t="s">
        <v>78</v>
      </c>
      <c r="F373" s="41"/>
      <c r="G373" s="10">
        <v>7</v>
      </c>
      <c r="H373" s="42">
        <v>5.29</v>
      </c>
      <c r="I373" s="43">
        <f>Tableau3[[#This Row],[Stock final]]*Tableau3[[#This Row],[P.U.]]</f>
        <v>37.03</v>
      </c>
      <c r="J373" s="183"/>
      <c r="K373"/>
    </row>
    <row r="374" spans="1:11" ht="15.75">
      <c r="A374" s="102" t="s">
        <v>70</v>
      </c>
      <c r="B374" s="102" t="s">
        <v>31</v>
      </c>
      <c r="C374" s="116">
        <v>70053</v>
      </c>
      <c r="D374" s="11" t="s">
        <v>79</v>
      </c>
      <c r="F374" s="41"/>
      <c r="G374" s="10">
        <v>8</v>
      </c>
      <c r="H374" s="42">
        <v>6.25</v>
      </c>
      <c r="I374" s="43">
        <f>Tableau3[[#This Row],[Stock final]]*Tableau3[[#This Row],[P.U.]]</f>
        <v>50</v>
      </c>
      <c r="J374" s="183"/>
      <c r="K374"/>
    </row>
    <row r="375" spans="1:11" ht="15.75">
      <c r="A375" s="102" t="s">
        <v>70</v>
      </c>
      <c r="B375" s="102" t="s">
        <v>31</v>
      </c>
      <c r="C375" s="116">
        <v>70054</v>
      </c>
      <c r="D375" s="11" t="s">
        <v>80</v>
      </c>
      <c r="F375" s="41"/>
      <c r="G375" s="10">
        <v>5</v>
      </c>
      <c r="H375" s="42">
        <v>7.19</v>
      </c>
      <c r="I375" s="43">
        <f>Tableau3[[#This Row],[Stock final]]*Tableau3[[#This Row],[P.U.]]</f>
        <v>35.950000000000003</v>
      </c>
      <c r="J375" s="183"/>
      <c r="K375"/>
    </row>
    <row r="376" spans="1:11" ht="15.75">
      <c r="A376" s="102" t="s">
        <v>70</v>
      </c>
      <c r="B376" s="102" t="s">
        <v>31</v>
      </c>
      <c r="C376" s="116">
        <v>70055</v>
      </c>
      <c r="D376" s="11" t="s">
        <v>81</v>
      </c>
      <c r="F376" s="41"/>
      <c r="G376" s="10">
        <v>7</v>
      </c>
      <c r="H376" s="42">
        <v>8.91</v>
      </c>
      <c r="I376" s="43">
        <f>Tableau3[[#This Row],[Stock final]]*Tableau3[[#This Row],[P.U.]]</f>
        <v>62.370000000000005</v>
      </c>
      <c r="J376" s="183"/>
      <c r="K376"/>
    </row>
    <row r="377" spans="1:11" ht="15.75">
      <c r="A377" s="102" t="s">
        <v>70</v>
      </c>
      <c r="B377" s="102" t="s">
        <v>31</v>
      </c>
      <c r="C377" s="116">
        <v>70058</v>
      </c>
      <c r="D377" s="11" t="s">
        <v>153</v>
      </c>
      <c r="F377" s="41"/>
      <c r="G377" s="10">
        <v>7</v>
      </c>
      <c r="H377" s="42">
        <v>6.74</v>
      </c>
      <c r="I377" s="43">
        <f>Tableau3[[#This Row],[Stock final]]*Tableau3[[#This Row],[P.U.]]</f>
        <v>47.18</v>
      </c>
      <c r="J377" s="183"/>
      <c r="K377"/>
    </row>
    <row r="378" spans="1:11" ht="15.75">
      <c r="A378" s="102" t="s">
        <v>70</v>
      </c>
      <c r="B378" s="102" t="s">
        <v>31</v>
      </c>
      <c r="C378" s="116" t="s">
        <v>38</v>
      </c>
      <c r="D378" s="11" t="s">
        <v>39</v>
      </c>
      <c r="F378" s="41"/>
      <c r="G378" s="10">
        <v>0</v>
      </c>
      <c r="H378" s="42">
        <v>41</v>
      </c>
      <c r="I378" s="43">
        <f>Tableau3[[#This Row],[Stock final]]*Tableau3[[#This Row],[P.U.]]</f>
        <v>0</v>
      </c>
      <c r="J378" s="183"/>
      <c r="K378"/>
    </row>
    <row r="379" spans="1:11" ht="15.75">
      <c r="A379" s="102" t="s">
        <v>70</v>
      </c>
      <c r="B379" s="102" t="s">
        <v>31</v>
      </c>
      <c r="C379" s="116" t="s">
        <v>154</v>
      </c>
      <c r="D379" s="11" t="s">
        <v>114</v>
      </c>
      <c r="F379" s="41"/>
      <c r="G379" s="10">
        <v>15</v>
      </c>
      <c r="H379" s="42">
        <v>4.9000000000000004</v>
      </c>
      <c r="I379" s="43">
        <f>Tableau3[[#This Row],[Stock final]]*Tableau3[[#This Row],[P.U.]]</f>
        <v>73.5</v>
      </c>
      <c r="J379" s="183"/>
      <c r="K379"/>
    </row>
    <row r="380" spans="1:11" ht="15.75">
      <c r="A380" s="102" t="s">
        <v>70</v>
      </c>
      <c r="B380" s="102" t="s">
        <v>31</v>
      </c>
      <c r="C380" s="116" t="s">
        <v>155</v>
      </c>
      <c r="D380" s="11" t="s">
        <v>115</v>
      </c>
      <c r="F380" s="41"/>
      <c r="G380" s="10">
        <v>8</v>
      </c>
      <c r="H380" s="42">
        <v>4.5</v>
      </c>
      <c r="I380" s="43">
        <f>Tableau3[[#This Row],[Stock final]]*Tableau3[[#This Row],[P.U.]]</f>
        <v>36</v>
      </c>
      <c r="J380" s="183"/>
      <c r="K380"/>
    </row>
    <row r="381" spans="1:11" ht="15.75">
      <c r="A381" s="102" t="s">
        <v>70</v>
      </c>
      <c r="B381" s="102" t="s">
        <v>31</v>
      </c>
      <c r="C381" s="116" t="s">
        <v>156</v>
      </c>
      <c r="D381" s="11" t="s">
        <v>157</v>
      </c>
      <c r="F381" s="41"/>
      <c r="G381" s="10">
        <v>2</v>
      </c>
      <c r="H381" s="42">
        <v>16.22</v>
      </c>
      <c r="I381" s="43">
        <f>Tableau3[[#This Row],[Stock final]]*Tableau3[[#This Row],[P.U.]]</f>
        <v>32.44</v>
      </c>
      <c r="J381" s="183"/>
      <c r="K381"/>
    </row>
    <row r="382" spans="1:11" ht="15.75">
      <c r="A382" s="102"/>
      <c r="B382" s="102"/>
      <c r="C382" s="116"/>
      <c r="F382" s="107"/>
      <c r="G382" s="10"/>
      <c r="H382" s="103"/>
      <c r="I382" s="108">
        <f>Tableau3[[#This Row],[Stock final]]*Tableau3[[#This Row],[P.U.]]</f>
        <v>0</v>
      </c>
      <c r="J382" s="183"/>
      <c r="K382"/>
    </row>
    <row r="383" spans="1:11" ht="15.75">
      <c r="A383" s="102"/>
      <c r="B383" s="102"/>
      <c r="C383" s="116"/>
      <c r="F383" s="107"/>
      <c r="G383" s="10"/>
      <c r="H383" s="103"/>
      <c r="I383" s="108">
        <f>Tableau3[[#This Row],[Stock final]]*Tableau3[[#This Row],[P.U.]]</f>
        <v>0</v>
      </c>
      <c r="J383" s="183"/>
      <c r="K383"/>
    </row>
    <row r="384" spans="1:11" ht="15.75">
      <c r="A384" s="102"/>
      <c r="B384" s="102"/>
      <c r="C384" s="116"/>
      <c r="F384" s="107"/>
      <c r="G384" s="10"/>
      <c r="H384" s="103"/>
      <c r="I384" s="108">
        <f>Tableau3[[#This Row],[Stock final]]*Tableau3[[#This Row],[P.U.]]</f>
        <v>0</v>
      </c>
      <c r="J384" s="183"/>
      <c r="K384"/>
    </row>
    <row r="385" spans="1:11" ht="15.75">
      <c r="A385" s="102"/>
      <c r="B385" s="102"/>
      <c r="C385" s="116"/>
      <c r="F385" s="107"/>
      <c r="G385" s="10"/>
      <c r="H385" s="103"/>
      <c r="I385" s="108">
        <f>Tableau3[[#This Row],[Stock final]]*Tableau3[[#This Row],[P.U.]]</f>
        <v>0</v>
      </c>
      <c r="J385" s="183"/>
      <c r="K385"/>
    </row>
    <row r="386" spans="1:11" ht="15.75">
      <c r="A386" s="102"/>
      <c r="B386" s="102"/>
      <c r="C386" s="116"/>
      <c r="F386" s="107"/>
      <c r="G386" s="10"/>
      <c r="H386" s="103"/>
      <c r="I386" s="108">
        <f>Tableau3[[#This Row],[Stock final]]*Tableau3[[#This Row],[P.U.]]</f>
        <v>0</v>
      </c>
      <c r="J386" s="183"/>
      <c r="K386"/>
    </row>
    <row r="387" spans="1:11" ht="15.75">
      <c r="A387" s="102"/>
      <c r="B387" s="102"/>
      <c r="C387" s="116"/>
      <c r="F387" s="107"/>
      <c r="G387" s="10"/>
      <c r="H387" s="103"/>
      <c r="I387" s="108">
        <f>Tableau3[[#This Row],[Stock final]]*Tableau3[[#This Row],[P.U.]]</f>
        <v>0</v>
      </c>
      <c r="J387" s="183"/>
      <c r="K387"/>
    </row>
    <row r="388" spans="1:11" ht="15.75">
      <c r="A388" s="102"/>
      <c r="B388" s="102"/>
      <c r="C388" s="116"/>
      <c r="F388" s="107"/>
      <c r="G388" s="10"/>
      <c r="H388" s="103"/>
      <c r="I388" s="108">
        <f>Tableau3[[#This Row],[Stock final]]*Tableau3[[#This Row],[P.U.]]</f>
        <v>0</v>
      </c>
      <c r="J388" s="183"/>
      <c r="K388"/>
    </row>
    <row r="389" spans="1:11" ht="15.75">
      <c r="A389" s="102"/>
      <c r="B389" s="102"/>
      <c r="C389" s="116"/>
      <c r="F389" s="107"/>
      <c r="G389" s="10"/>
      <c r="H389" s="103"/>
      <c r="I389" s="108">
        <f>Tableau3[[#This Row],[Stock final]]*Tableau3[[#This Row],[P.U.]]</f>
        <v>0</v>
      </c>
      <c r="J389" s="183"/>
      <c r="K389"/>
    </row>
    <row r="390" spans="1:11" ht="15.75">
      <c r="A390" s="102"/>
      <c r="B390" s="102"/>
      <c r="C390" s="116"/>
      <c r="F390" s="107"/>
      <c r="G390" s="10"/>
      <c r="H390" s="103"/>
      <c r="I390" s="108">
        <f>Tableau3[[#This Row],[Stock final]]*Tableau3[[#This Row],[P.U.]]</f>
        <v>0</v>
      </c>
      <c r="J390" s="183"/>
      <c r="K390"/>
    </row>
    <row r="391" spans="1:11" ht="15.75">
      <c r="A391" s="102"/>
      <c r="B391" s="102"/>
      <c r="C391" s="116"/>
      <c r="F391" s="107"/>
      <c r="G391" s="10"/>
      <c r="H391" s="103"/>
      <c r="I391" s="108">
        <f>Tableau3[[#This Row],[Stock final]]*Tableau3[[#This Row],[P.U.]]</f>
        <v>0</v>
      </c>
      <c r="J391" s="183"/>
      <c r="K391"/>
    </row>
    <row r="392" spans="1:11" ht="15.75">
      <c r="A392" s="102"/>
      <c r="B392" s="102"/>
      <c r="C392" s="116"/>
      <c r="F392" s="107"/>
      <c r="G392" s="10"/>
      <c r="H392" s="103"/>
      <c r="I392" s="108">
        <f>Tableau3[[#This Row],[Stock final]]*Tableau3[[#This Row],[P.U.]]</f>
        <v>0</v>
      </c>
      <c r="J392" s="183"/>
      <c r="K392"/>
    </row>
    <row r="393" spans="1:11" ht="15.75">
      <c r="A393" s="102"/>
      <c r="B393" s="102"/>
      <c r="C393" s="116"/>
      <c r="F393" s="107"/>
      <c r="G393" s="10"/>
      <c r="H393" s="103"/>
      <c r="I393" s="108">
        <f>Tableau3[[#This Row],[Stock final]]*Tableau3[[#This Row],[P.U.]]</f>
        <v>0</v>
      </c>
      <c r="J393" s="183"/>
      <c r="K393"/>
    </row>
    <row r="394" spans="1:11" ht="15.75">
      <c r="A394" s="102" t="s">
        <v>70</v>
      </c>
      <c r="B394" s="40"/>
      <c r="C394" s="116"/>
      <c r="F394" s="41"/>
      <c r="G394" s="10"/>
      <c r="H394" s="42"/>
      <c r="I394" s="43">
        <f>Tableau3[[#This Row],[Stock final]]*Tableau3[[#This Row],[P.U.]]</f>
        <v>0</v>
      </c>
      <c r="J394" s="183"/>
      <c r="K394"/>
    </row>
    <row r="395" spans="1:11" ht="15.75">
      <c r="A395" s="102" t="s">
        <v>70</v>
      </c>
      <c r="B395" s="40"/>
      <c r="C395" s="116"/>
      <c r="F395" s="41"/>
      <c r="G395" s="10"/>
      <c r="H395" s="42"/>
      <c r="I395" s="43">
        <f>Tableau3[[#This Row],[Stock final]]*Tableau3[[#This Row],[P.U.]]</f>
        <v>0</v>
      </c>
      <c r="J395" s="183"/>
      <c r="K395"/>
    </row>
    <row r="396" spans="1:11" ht="15.75">
      <c r="A396" s="102" t="s">
        <v>70</v>
      </c>
      <c r="B396" s="40"/>
      <c r="C396" s="116"/>
      <c r="F396" s="41"/>
      <c r="G396" s="10"/>
      <c r="H396" s="42"/>
      <c r="I396" s="43">
        <f>Tableau3[[#This Row],[Stock final]]*Tableau3[[#This Row],[P.U.]]</f>
        <v>0</v>
      </c>
      <c r="J396" s="183"/>
      <c r="K396"/>
    </row>
    <row r="397" spans="1:11" ht="15.75">
      <c r="A397" s="102" t="s">
        <v>70</v>
      </c>
      <c r="B397" s="40"/>
      <c r="C397" s="116"/>
      <c r="F397" s="41"/>
      <c r="G397" s="10"/>
      <c r="H397" s="42"/>
      <c r="I397" s="43">
        <f>Tableau3[[#This Row],[Stock final]]*Tableau3[[#This Row],[P.U.]]</f>
        <v>0</v>
      </c>
      <c r="J397" s="183"/>
      <c r="K397"/>
    </row>
    <row r="398" spans="1:11" ht="15.75">
      <c r="A398" s="102" t="s">
        <v>70</v>
      </c>
      <c r="B398" s="40"/>
      <c r="C398" s="116"/>
      <c r="F398" s="41"/>
      <c r="G398" s="10"/>
      <c r="H398" s="42"/>
      <c r="I398" s="43">
        <f>Tableau3[[#This Row],[Stock final]]*Tableau3[[#This Row],[P.U.]]</f>
        <v>0</v>
      </c>
      <c r="J398" s="183"/>
      <c r="K398"/>
    </row>
    <row r="399" spans="1:11" ht="15.75">
      <c r="A399" s="102" t="s">
        <v>70</v>
      </c>
      <c r="B399" s="40"/>
      <c r="C399" s="116"/>
      <c r="F399" s="41"/>
      <c r="G399" s="10"/>
      <c r="H399" s="42"/>
      <c r="I399" s="43">
        <f>Tableau3[[#This Row],[Stock final]]*Tableau3[[#This Row],[P.U.]]</f>
        <v>0</v>
      </c>
      <c r="J399" s="183"/>
      <c r="K399"/>
    </row>
    <row r="400" spans="1:11" ht="15.75">
      <c r="A400" s="102" t="s">
        <v>70</v>
      </c>
      <c r="B400" s="40"/>
      <c r="C400" s="116"/>
      <c r="F400" s="41"/>
      <c r="G400" s="10"/>
      <c r="H400" s="42"/>
      <c r="I400" s="43">
        <f>Tableau3[[#This Row],[Stock final]]*Tableau3[[#This Row],[P.U.]]</f>
        <v>0</v>
      </c>
      <c r="J400" s="183"/>
      <c r="K400"/>
    </row>
    <row r="401" spans="1:11" ht="15.75">
      <c r="A401" s="102" t="s">
        <v>70</v>
      </c>
      <c r="B401" s="40"/>
      <c r="C401" s="116"/>
      <c r="F401" s="41"/>
      <c r="G401" s="10"/>
      <c r="H401" s="42"/>
      <c r="I401" s="43">
        <f>Tableau3[[#This Row],[Stock final]]*Tableau3[[#This Row],[P.U.]]</f>
        <v>0</v>
      </c>
      <c r="J401" s="183"/>
      <c r="K401"/>
    </row>
    <row r="402" spans="1:11" ht="15.75">
      <c r="A402" s="102" t="s">
        <v>70</v>
      </c>
      <c r="B402" s="40"/>
      <c r="C402" s="116"/>
      <c r="F402" s="41"/>
      <c r="G402" s="10"/>
      <c r="H402" s="42"/>
      <c r="I402" s="43">
        <f>Tableau3[[#This Row],[Stock final]]*Tableau3[[#This Row],[P.U.]]</f>
        <v>0</v>
      </c>
      <c r="J402" s="183"/>
      <c r="K402"/>
    </row>
    <row r="403" spans="1:11" ht="15.75">
      <c r="A403" s="102" t="s">
        <v>70</v>
      </c>
      <c r="B403" s="40"/>
      <c r="C403" s="116"/>
      <c r="F403" s="41"/>
      <c r="G403" s="10"/>
      <c r="H403" s="42"/>
      <c r="I403" s="43">
        <f>Tableau3[[#This Row],[Stock final]]*Tableau3[[#This Row],[P.U.]]</f>
        <v>0</v>
      </c>
      <c r="J403" s="183"/>
      <c r="K403"/>
    </row>
    <row r="404" spans="1:11" ht="15.75">
      <c r="A404" s="102" t="s">
        <v>70</v>
      </c>
      <c r="B404" s="102"/>
      <c r="C404" s="116"/>
      <c r="F404" s="41"/>
      <c r="G404" s="10"/>
      <c r="H404" s="42"/>
      <c r="I404" s="43">
        <f>Tableau3[[#This Row],[Stock final]]*Tableau3[[#This Row],[P.U.]]</f>
        <v>0</v>
      </c>
      <c r="J404" s="183"/>
      <c r="K404"/>
    </row>
    <row r="405" spans="1:11" ht="15.75">
      <c r="A405" s="102" t="s">
        <v>70</v>
      </c>
      <c r="B405" s="40"/>
      <c r="C405" s="116"/>
      <c r="F405" s="41"/>
      <c r="G405" s="10"/>
      <c r="H405" s="42"/>
      <c r="I405" s="43">
        <f>Tableau3[[#This Row],[Stock final]]*Tableau3[[#This Row],[P.U.]]</f>
        <v>0</v>
      </c>
      <c r="J405" s="183"/>
      <c r="K405"/>
    </row>
    <row r="406" spans="1:11" ht="15.75">
      <c r="A406" s="102" t="s">
        <v>70</v>
      </c>
      <c r="B406" s="40"/>
      <c r="C406" s="116"/>
      <c r="F406" s="41"/>
      <c r="G406" s="10"/>
      <c r="H406" s="42"/>
      <c r="I406" s="43">
        <f>Tableau3[[#This Row],[Stock final]]*Tableau3[[#This Row],[P.U.]]</f>
        <v>0</v>
      </c>
      <c r="J406" s="183"/>
      <c r="K406"/>
    </row>
    <row r="407" spans="1:11" ht="15.75">
      <c r="A407" s="102" t="s">
        <v>70</v>
      </c>
      <c r="B407" s="40"/>
      <c r="C407" s="116"/>
      <c r="F407" s="107"/>
      <c r="G407" s="10"/>
      <c r="H407" s="87"/>
      <c r="I407" s="43">
        <f>Tableau3[[#This Row],[Stock final]]*Tableau3[[#This Row],[P.U.]]</f>
        <v>0</v>
      </c>
      <c r="J407" s="183"/>
      <c r="K407"/>
    </row>
    <row r="408" spans="1:11" ht="15.75">
      <c r="A408" s="102" t="s">
        <v>70</v>
      </c>
      <c r="B408" s="40"/>
      <c r="C408" s="116"/>
      <c r="F408" s="41"/>
      <c r="G408" s="10"/>
      <c r="H408" s="42"/>
      <c r="I408" s="43">
        <f>Tableau3[[#This Row],[Stock final]]*Tableau3[[#This Row],[P.U.]]</f>
        <v>0</v>
      </c>
      <c r="J408" s="183"/>
      <c r="K408"/>
    </row>
    <row r="409" spans="1:11" ht="15.75">
      <c r="A409" s="102" t="s">
        <v>70</v>
      </c>
      <c r="B409" s="102"/>
      <c r="C409" s="116"/>
      <c r="F409" s="41"/>
      <c r="G409" s="10"/>
      <c r="H409" s="42"/>
      <c r="I409" s="43">
        <f>Tableau3[[#This Row],[Stock final]]*Tableau3[[#This Row],[P.U.]]</f>
        <v>0</v>
      </c>
      <c r="J409" s="183"/>
      <c r="K409"/>
    </row>
    <row r="410" spans="1:11" ht="15.75">
      <c r="A410" s="102"/>
      <c r="B410" s="40"/>
      <c r="C410" s="116"/>
      <c r="F410" s="41"/>
      <c r="G410" s="10"/>
      <c r="H410" s="42"/>
      <c r="I410" s="43">
        <f>Tableau3[[#This Row],[Stock final]]*Tableau3[[#This Row],[P.U.]]</f>
        <v>0</v>
      </c>
      <c r="J410" s="183"/>
      <c r="K410"/>
    </row>
    <row r="411" spans="1:11" ht="19.350000000000001" customHeight="1">
      <c r="A411" s="102"/>
      <c r="B411" s="40"/>
      <c r="C411" s="116"/>
      <c r="F411" s="41"/>
      <c r="G411" s="10"/>
      <c r="H411" s="42"/>
      <c r="I411" s="43">
        <f>Tableau3[[#This Row],[Stock final]]*Tableau3[[#This Row],[P.U.]]</f>
        <v>0</v>
      </c>
      <c r="J411" s="183"/>
      <c r="K411"/>
    </row>
    <row r="412" spans="1:11" ht="19.350000000000001" customHeight="1">
      <c r="A412" s="102"/>
      <c r="B412" s="40"/>
      <c r="C412" s="116"/>
      <c r="F412" s="41"/>
      <c r="G412" s="10"/>
      <c r="H412" s="42"/>
      <c r="I412" s="43">
        <f>Tableau3[[#This Row],[Stock final]]*Tableau3[[#This Row],[P.U.]]</f>
        <v>0</v>
      </c>
      <c r="J412" s="183"/>
      <c r="K412"/>
    </row>
    <row r="413" spans="1:11" ht="19.350000000000001" customHeight="1">
      <c r="A413" s="102"/>
      <c r="B413" s="40"/>
      <c r="C413" s="116"/>
      <c r="F413" s="41"/>
      <c r="G413" s="10"/>
      <c r="H413" s="42"/>
      <c r="I413" s="43">
        <f>Tableau3[[#This Row],[Stock final]]*Tableau3[[#This Row],[P.U.]]</f>
        <v>0</v>
      </c>
      <c r="J413" s="183"/>
      <c r="K413"/>
    </row>
    <row r="414" spans="1:11" ht="19.350000000000001" customHeight="1">
      <c r="A414" s="102"/>
      <c r="B414" s="40"/>
      <c r="C414" s="116"/>
      <c r="F414" s="41"/>
      <c r="G414" s="10"/>
      <c r="H414" s="42"/>
      <c r="I414" s="43">
        <f>Tableau3[[#This Row],[Stock final]]*Tableau3[[#This Row],[P.U.]]</f>
        <v>0</v>
      </c>
      <c r="J414" s="183"/>
      <c r="K414"/>
    </row>
    <row r="415" spans="1:11" ht="19.350000000000001" customHeight="1">
      <c r="A415" s="102"/>
      <c r="B415" s="40"/>
      <c r="C415" s="116"/>
      <c r="F415" s="41"/>
      <c r="G415" s="10"/>
      <c r="H415" s="42"/>
      <c r="I415" s="43">
        <f>Tableau3[[#This Row],[Stock final]]*Tableau3[[#This Row],[P.U.]]</f>
        <v>0</v>
      </c>
      <c r="J415" s="183"/>
      <c r="K415"/>
    </row>
    <row r="416" spans="1:11" ht="19.350000000000001" customHeight="1">
      <c r="A416" s="109"/>
      <c r="B416" s="143"/>
      <c r="C416" s="116"/>
      <c r="F416" s="41"/>
      <c r="G416" s="10"/>
      <c r="H416" s="42"/>
      <c r="I416" s="43">
        <f>Tableau3[[#This Row],[Stock final]]*Tableau3[[#This Row],[P.U.]]</f>
        <v>0</v>
      </c>
      <c r="J416" s="183"/>
      <c r="K416"/>
    </row>
    <row r="417" spans="1:11" ht="19.350000000000001" customHeight="1">
      <c r="A417" s="102"/>
      <c r="B417" s="40"/>
      <c r="C417" s="116"/>
      <c r="F417" s="41"/>
      <c r="G417" s="10"/>
      <c r="H417" s="42"/>
      <c r="I417" s="43">
        <f>Tableau3[[#This Row],[Stock final]]*Tableau3[[#This Row],[P.U.]]</f>
        <v>0</v>
      </c>
      <c r="J417" s="183"/>
      <c r="K417"/>
    </row>
    <row r="418" spans="1:11" ht="19.350000000000001" customHeight="1">
      <c r="A418" s="102"/>
      <c r="B418" s="40"/>
      <c r="C418" s="116"/>
      <c r="F418" s="107"/>
      <c r="G418" s="10"/>
      <c r="H418" s="42"/>
      <c r="I418" s="43">
        <f>Tableau3[[#This Row],[Stock final]]*Tableau3[[#This Row],[P.U.]]</f>
        <v>0</v>
      </c>
      <c r="J418" s="183"/>
      <c r="K418"/>
    </row>
    <row r="419" spans="1:11" ht="19.350000000000001" customHeight="1">
      <c r="A419" s="102"/>
      <c r="B419" s="40"/>
      <c r="C419" s="116"/>
      <c r="F419" s="41"/>
      <c r="G419" s="10"/>
      <c r="H419" s="42"/>
      <c r="I419" s="43">
        <f>Tableau3[[#This Row],[Stock final]]*Tableau3[[#This Row],[P.U.]]</f>
        <v>0</v>
      </c>
      <c r="J419" s="183"/>
      <c r="K419"/>
    </row>
    <row r="420" spans="1:11" ht="19.350000000000001" customHeight="1">
      <c r="A420" s="102"/>
      <c r="B420" s="95"/>
      <c r="C420" s="116"/>
      <c r="F420" s="41"/>
      <c r="G420" s="10"/>
      <c r="H420" s="42"/>
      <c r="I420" s="43">
        <f>Tableau3[[#This Row],[Stock final]]*Tableau3[[#This Row],[P.U.]]</f>
        <v>0</v>
      </c>
      <c r="J420" s="183"/>
      <c r="K420"/>
    </row>
    <row r="421" spans="1:11" ht="19.350000000000001" customHeight="1">
      <c r="A421" s="102"/>
      <c r="B421" s="40"/>
      <c r="C421" s="116"/>
      <c r="F421" s="41"/>
      <c r="G421" s="10"/>
      <c r="H421" s="42"/>
      <c r="I421" s="43">
        <f>Tableau3[[#This Row],[Stock final]]*Tableau3[[#This Row],[P.U.]]</f>
        <v>0</v>
      </c>
      <c r="J421" s="183"/>
      <c r="K421"/>
    </row>
    <row r="422" spans="1:11" ht="19.350000000000001" customHeight="1">
      <c r="A422" s="102"/>
      <c r="B422" s="40"/>
      <c r="C422" s="116"/>
      <c r="F422" s="41"/>
      <c r="G422" s="10"/>
      <c r="H422" s="42"/>
      <c r="I422" s="43">
        <f>Tableau3[[#This Row],[Stock final]]*Tableau3[[#This Row],[P.U.]]</f>
        <v>0</v>
      </c>
      <c r="J422" s="183"/>
      <c r="K422"/>
    </row>
    <row r="423" spans="1:11" ht="15.75">
      <c r="A423" s="102"/>
      <c r="B423" s="40"/>
      <c r="C423" s="116"/>
      <c r="F423" s="41"/>
      <c r="G423" s="10"/>
      <c r="H423" s="42"/>
      <c r="I423" s="43">
        <f>Tableau3[[#This Row],[Stock final]]*Tableau3[[#This Row],[P.U.]]</f>
        <v>0</v>
      </c>
      <c r="J423" s="183"/>
      <c r="K423"/>
    </row>
    <row r="424" spans="1:11" ht="15.75">
      <c r="A424" s="102"/>
      <c r="B424" s="102"/>
      <c r="C424" s="116"/>
      <c r="F424" s="41"/>
      <c r="G424" s="10"/>
      <c r="H424" s="42"/>
      <c r="I424" s="43">
        <f>Tableau3[[#This Row],[Stock final]]*Tableau3[[#This Row],[P.U.]]</f>
        <v>0</v>
      </c>
      <c r="J424" s="183"/>
      <c r="K424"/>
    </row>
    <row r="425" spans="1:11" ht="15.75">
      <c r="A425" s="102"/>
      <c r="B425" s="40"/>
      <c r="C425" s="116"/>
      <c r="F425" s="41"/>
      <c r="G425" s="10"/>
      <c r="H425" s="42"/>
      <c r="I425" s="43">
        <f>Tableau3[[#This Row],[Stock final]]*Tableau3[[#This Row],[P.U.]]</f>
        <v>0</v>
      </c>
      <c r="J425" s="183"/>
      <c r="K425"/>
    </row>
    <row r="426" spans="1:11" ht="15.75">
      <c r="A426" s="102"/>
      <c r="B426" s="40"/>
      <c r="C426" s="116"/>
      <c r="F426" s="41"/>
      <c r="G426" s="10"/>
      <c r="H426" s="42"/>
      <c r="I426" s="43">
        <f>Tableau3[[#This Row],[Stock final]]*Tableau3[[#This Row],[P.U.]]</f>
        <v>0</v>
      </c>
      <c r="J426" s="183"/>
      <c r="K426"/>
    </row>
    <row r="427" spans="1:11" ht="15.75">
      <c r="A427" s="102"/>
      <c r="B427" s="40"/>
      <c r="C427" s="116"/>
      <c r="F427" s="41"/>
      <c r="G427" s="10"/>
      <c r="H427" s="42"/>
      <c r="I427" s="43">
        <f>Tableau3[[#This Row],[Stock final]]*Tableau3[[#This Row],[P.U.]]</f>
        <v>0</v>
      </c>
      <c r="J427" s="183"/>
      <c r="K427"/>
    </row>
    <row r="428" spans="1:11" ht="15.75">
      <c r="A428" s="102"/>
      <c r="B428" s="40"/>
      <c r="C428" s="116"/>
      <c r="F428" s="41"/>
      <c r="G428" s="10"/>
      <c r="H428" s="42"/>
      <c r="I428" s="43">
        <f>Tableau3[[#This Row],[Stock final]]*Tableau3[[#This Row],[P.U.]]</f>
        <v>0</v>
      </c>
      <c r="J428" s="183"/>
      <c r="K428"/>
    </row>
    <row r="429" spans="1:11" ht="15.75">
      <c r="A429" s="102"/>
      <c r="B429" s="40"/>
      <c r="C429" s="116"/>
      <c r="F429" s="41"/>
      <c r="G429" s="10"/>
      <c r="H429" s="42"/>
      <c r="I429" s="43">
        <f>Tableau3[[#This Row],[Stock final]]*Tableau3[[#This Row],[P.U.]]</f>
        <v>0</v>
      </c>
      <c r="J429" s="183"/>
      <c r="K429"/>
    </row>
    <row r="430" spans="1:11" ht="15.75">
      <c r="A430" s="102"/>
      <c r="B430" s="102"/>
      <c r="C430" s="116"/>
      <c r="F430" s="107"/>
      <c r="G430" s="10"/>
      <c r="H430" s="103"/>
      <c r="I430" s="108">
        <f>Tableau3[[#This Row],[Stock final]]*Tableau3[[#This Row],[P.U.]]</f>
        <v>0</v>
      </c>
      <c r="J430" s="183"/>
      <c r="K430"/>
    </row>
    <row r="431" spans="1:11" ht="15.75">
      <c r="A431" s="102"/>
      <c r="B431" s="102"/>
      <c r="C431" s="116"/>
      <c r="F431" s="107"/>
      <c r="G431" s="10"/>
      <c r="H431" s="103"/>
      <c r="I431" s="108">
        <f>Tableau3[[#This Row],[Stock final]]*Tableau3[[#This Row],[P.U.]]</f>
        <v>0</v>
      </c>
      <c r="J431" s="183"/>
      <c r="K431"/>
    </row>
    <row r="432" spans="1:11" ht="15.75">
      <c r="A432" s="102"/>
      <c r="B432" s="40"/>
      <c r="C432" s="116"/>
      <c r="F432" s="41"/>
      <c r="G432" s="10"/>
      <c r="H432" s="42"/>
      <c r="I432" s="43">
        <f>Tableau3[[#This Row],[Stock final]]*Tableau3[[#This Row],[P.U.]]</f>
        <v>0</v>
      </c>
      <c r="J432" s="183"/>
      <c r="K432"/>
    </row>
    <row r="433" spans="1:11" ht="15.75">
      <c r="A433" s="102"/>
      <c r="B433" s="40"/>
      <c r="C433" s="116"/>
      <c r="F433" s="41"/>
      <c r="G433" s="10"/>
      <c r="H433" s="42"/>
      <c r="I433" s="43">
        <f>Tableau3[[#This Row],[Stock final]]*Tableau3[[#This Row],[P.U.]]</f>
        <v>0</v>
      </c>
      <c r="J433" s="183"/>
      <c r="K433"/>
    </row>
    <row r="434" spans="1:11" ht="15.75">
      <c r="A434" s="102"/>
      <c r="B434" s="40"/>
      <c r="C434" s="116"/>
      <c r="F434" s="41"/>
      <c r="G434" s="10"/>
      <c r="H434" s="42"/>
      <c r="I434" s="43">
        <f>Tableau3[[#This Row],[Stock final]]*Tableau3[[#This Row],[P.U.]]</f>
        <v>0</v>
      </c>
      <c r="J434" s="183"/>
      <c r="K434"/>
    </row>
    <row r="435" spans="1:11" ht="15.75">
      <c r="A435" s="102"/>
      <c r="B435" s="102"/>
      <c r="C435" s="116"/>
      <c r="F435" s="41"/>
      <c r="G435" s="10"/>
      <c r="H435" s="42"/>
      <c r="I435" s="43">
        <f>Tableau3[[#This Row],[Stock final]]*Tableau3[[#This Row],[P.U.]]</f>
        <v>0</v>
      </c>
      <c r="J435" s="183"/>
      <c r="K435"/>
    </row>
    <row r="436" spans="1:11" ht="15.75">
      <c r="A436" s="102"/>
      <c r="B436" s="40"/>
      <c r="C436" s="116"/>
      <c r="F436" s="41"/>
      <c r="G436" s="10"/>
      <c r="H436" s="42"/>
      <c r="I436" s="43">
        <f>Tableau3[[#This Row],[Stock final]]*Tableau3[[#This Row],[P.U.]]</f>
        <v>0</v>
      </c>
      <c r="J436" s="183"/>
      <c r="K436"/>
    </row>
    <row r="437" spans="1:11" ht="15.75">
      <c r="A437" s="102"/>
      <c r="B437" s="102"/>
      <c r="C437" s="116"/>
      <c r="F437" s="41"/>
      <c r="G437" s="10"/>
      <c r="H437" s="42"/>
      <c r="I437" s="43">
        <f>Tableau3[[#This Row],[Stock final]]*Tableau3[[#This Row],[P.U.]]</f>
        <v>0</v>
      </c>
      <c r="J437" s="183"/>
      <c r="K437"/>
    </row>
    <row r="438" spans="1:11" ht="15.75">
      <c r="A438" s="102"/>
      <c r="B438" s="102"/>
      <c r="C438" s="116"/>
      <c r="F438" s="41"/>
      <c r="G438" s="10"/>
      <c r="H438" s="42"/>
      <c r="I438" s="43">
        <f>Tableau3[[#This Row],[Stock final]]*Tableau3[[#This Row],[P.U.]]</f>
        <v>0</v>
      </c>
      <c r="J438" s="183"/>
      <c r="K438"/>
    </row>
    <row r="439" spans="1:11" ht="15.75">
      <c r="A439" s="102"/>
      <c r="B439" s="102"/>
      <c r="C439" s="116"/>
      <c r="F439" s="41"/>
      <c r="G439" s="10"/>
      <c r="H439" s="42"/>
      <c r="I439" s="43">
        <f>Tableau3[[#This Row],[Stock final]]*Tableau3[[#This Row],[P.U.]]</f>
        <v>0</v>
      </c>
      <c r="J439" s="183"/>
      <c r="K439"/>
    </row>
    <row r="440" spans="1:11" ht="15.75">
      <c r="A440" s="102"/>
      <c r="B440" s="102"/>
      <c r="C440" s="116"/>
      <c r="F440" s="41"/>
      <c r="G440" s="10"/>
      <c r="H440" s="42"/>
      <c r="I440" s="43">
        <f>Tableau3[[#This Row],[Stock final]]*Tableau3[[#This Row],[P.U.]]</f>
        <v>0</v>
      </c>
      <c r="J440" s="183"/>
      <c r="K440"/>
    </row>
    <row r="441" spans="1:11" ht="18.75" customHeight="1">
      <c r="A441" s="102" t="s">
        <v>72</v>
      </c>
      <c r="B441" s="102" t="s">
        <v>31</v>
      </c>
      <c r="C441" s="116">
        <v>80141</v>
      </c>
      <c r="D441" s="11" t="s">
        <v>49</v>
      </c>
      <c r="F441" s="41"/>
      <c r="G441" s="10">
        <v>28</v>
      </c>
      <c r="H441" s="42">
        <v>1.25</v>
      </c>
      <c r="I441" s="43">
        <f>Tableau3[[#This Row],[Stock final]]*Tableau3[[#This Row],[P.U.]]</f>
        <v>35</v>
      </c>
      <c r="J441" s="183"/>
      <c r="K441"/>
    </row>
    <row r="442" spans="1:11" ht="20.25" customHeight="1">
      <c r="A442" s="102" t="s">
        <v>72</v>
      </c>
      <c r="B442" s="102" t="s">
        <v>31</v>
      </c>
      <c r="C442" s="116">
        <v>80151</v>
      </c>
      <c r="D442" s="11" t="s">
        <v>48</v>
      </c>
      <c r="F442" s="41"/>
      <c r="G442" s="10">
        <v>8</v>
      </c>
      <c r="H442" s="42">
        <v>2.75</v>
      </c>
      <c r="I442" s="43">
        <f>Tableau3[[#This Row],[Stock final]]*Tableau3[[#This Row],[P.U.]]</f>
        <v>22</v>
      </c>
      <c r="J442" s="183"/>
      <c r="K442"/>
    </row>
    <row r="443" spans="1:11" ht="21" customHeight="1">
      <c r="A443" s="102" t="s">
        <v>72</v>
      </c>
      <c r="B443" s="102" t="s">
        <v>31</v>
      </c>
      <c r="C443" s="116">
        <v>80184</v>
      </c>
      <c r="D443" s="11" t="s">
        <v>158</v>
      </c>
      <c r="F443" s="41"/>
      <c r="G443" s="10">
        <v>5</v>
      </c>
      <c r="H443" s="42">
        <v>4.67</v>
      </c>
      <c r="I443" s="43">
        <f>Tableau3[[#This Row],[Stock final]]*Tableau3[[#This Row],[P.U.]]</f>
        <v>23.35</v>
      </c>
      <c r="J443" s="183"/>
      <c r="K443"/>
    </row>
    <row r="444" spans="1:11" ht="21" customHeight="1">
      <c r="A444" s="102" t="s">
        <v>72</v>
      </c>
      <c r="B444" s="102" t="s">
        <v>31</v>
      </c>
      <c r="C444" s="116">
        <v>80121</v>
      </c>
      <c r="D444" s="11" t="s">
        <v>88</v>
      </c>
      <c r="F444" s="41"/>
      <c r="G444" s="10">
        <v>3</v>
      </c>
      <c r="H444" s="42">
        <v>1.97</v>
      </c>
      <c r="I444" s="43">
        <f>Tableau3[[#This Row],[Stock final]]*Tableau3[[#This Row],[P.U.]]</f>
        <v>5.91</v>
      </c>
      <c r="J444" s="183"/>
      <c r="K444"/>
    </row>
    <row r="445" spans="1:11" ht="21.75" customHeight="1">
      <c r="A445" s="102" t="s">
        <v>72</v>
      </c>
      <c r="B445" s="102" t="s">
        <v>31</v>
      </c>
      <c r="C445" s="116">
        <v>80122</v>
      </c>
      <c r="D445" s="11" t="s">
        <v>89</v>
      </c>
      <c r="F445" s="41"/>
      <c r="G445" s="10">
        <v>2</v>
      </c>
      <c r="H445" s="42">
        <v>7.28</v>
      </c>
      <c r="I445" s="43">
        <f>Tableau3[[#This Row],[Stock final]]*Tableau3[[#This Row],[P.U.]]</f>
        <v>14.56</v>
      </c>
      <c r="J445" s="183"/>
      <c r="K445"/>
    </row>
    <row r="446" spans="1:11" ht="21" customHeight="1">
      <c r="A446" s="102" t="s">
        <v>72</v>
      </c>
      <c r="B446" s="102" t="s">
        <v>31</v>
      </c>
      <c r="C446" s="116">
        <v>80123</v>
      </c>
      <c r="D446" s="11" t="s">
        <v>159</v>
      </c>
      <c r="F446" s="41"/>
      <c r="G446" s="10">
        <v>1</v>
      </c>
      <c r="H446" s="42">
        <v>10.11</v>
      </c>
      <c r="I446" s="43">
        <f>Tableau3[[#This Row],[Stock final]]*Tableau3[[#This Row],[P.U.]]</f>
        <v>10.11</v>
      </c>
      <c r="J446" s="183"/>
      <c r="K446"/>
    </row>
    <row r="447" spans="1:11" ht="21.75" customHeight="1">
      <c r="A447" s="102" t="s">
        <v>72</v>
      </c>
      <c r="B447" s="102" t="s">
        <v>31</v>
      </c>
      <c r="C447" s="116">
        <v>89377</v>
      </c>
      <c r="D447" s="11" t="s">
        <v>84</v>
      </c>
      <c r="F447" s="41"/>
      <c r="G447" s="10">
        <v>11</v>
      </c>
      <c r="H447" s="42">
        <v>9.1999999999999993</v>
      </c>
      <c r="I447" s="43">
        <f>Tableau3[[#This Row],[Stock final]]*Tableau3[[#This Row],[P.U.]]</f>
        <v>101.19999999999999</v>
      </c>
      <c r="J447" s="183"/>
      <c r="K447"/>
    </row>
    <row r="448" spans="1:11" ht="15.75">
      <c r="A448" s="102" t="s">
        <v>72</v>
      </c>
      <c r="B448" s="102" t="s">
        <v>31</v>
      </c>
      <c r="C448" s="116">
        <v>89304</v>
      </c>
      <c r="D448" s="11" t="s">
        <v>85</v>
      </c>
      <c r="F448" s="41"/>
      <c r="G448" s="10">
        <v>31</v>
      </c>
      <c r="H448" s="42">
        <v>7.88</v>
      </c>
      <c r="I448" s="43">
        <f>Tableau3[[#This Row],[Stock final]]*Tableau3[[#This Row],[P.U.]]</f>
        <v>244.28</v>
      </c>
      <c r="J448" s="183"/>
      <c r="K448"/>
    </row>
    <row r="449" spans="1:11" ht="15.75">
      <c r="A449" s="102" t="s">
        <v>72</v>
      </c>
      <c r="B449" s="102" t="s">
        <v>31</v>
      </c>
      <c r="C449" s="116">
        <v>80040</v>
      </c>
      <c r="D449" s="11" t="s">
        <v>160</v>
      </c>
      <c r="F449" s="41"/>
      <c r="G449" s="10">
        <v>1</v>
      </c>
      <c r="H449" s="103">
        <v>5.75</v>
      </c>
      <c r="I449" s="43">
        <f>Tableau3[[#This Row],[Stock final]]*Tableau3[[#This Row],[P.U.]]</f>
        <v>5.75</v>
      </c>
      <c r="J449" s="183"/>
      <c r="K449"/>
    </row>
    <row r="450" spans="1:11" ht="15.75">
      <c r="A450" s="102" t="s">
        <v>72</v>
      </c>
      <c r="B450" s="102" t="s">
        <v>31</v>
      </c>
      <c r="C450" s="116">
        <v>80049</v>
      </c>
      <c r="D450" s="11" t="s">
        <v>161</v>
      </c>
      <c r="F450" s="41"/>
      <c r="G450" s="10"/>
      <c r="H450" s="42">
        <v>8.1199999999999992</v>
      </c>
      <c r="I450" s="43">
        <f>Tableau3[[#This Row],[Stock final]]*Tableau3[[#This Row],[P.U.]]</f>
        <v>0</v>
      </c>
      <c r="J450" s="183"/>
      <c r="K450"/>
    </row>
    <row r="451" spans="1:11" ht="15.75">
      <c r="A451" s="102" t="s">
        <v>72</v>
      </c>
      <c r="B451" s="102" t="s">
        <v>31</v>
      </c>
      <c r="C451" s="116">
        <v>52301</v>
      </c>
      <c r="D451" s="11" t="s">
        <v>162</v>
      </c>
      <c r="F451" s="41"/>
      <c r="G451" s="10"/>
      <c r="H451" s="42">
        <v>0.5</v>
      </c>
      <c r="I451" s="43">
        <f>Tableau3[[#This Row],[Stock final]]*Tableau3[[#This Row],[P.U.]]</f>
        <v>0</v>
      </c>
      <c r="J451" s="183"/>
      <c r="K451"/>
    </row>
    <row r="452" spans="1:11" ht="15.75">
      <c r="A452" s="102" t="s">
        <v>72</v>
      </c>
      <c r="B452" s="102" t="s">
        <v>31</v>
      </c>
      <c r="C452" s="116">
        <v>600902</v>
      </c>
      <c r="D452" s="11" t="s">
        <v>163</v>
      </c>
      <c r="F452" s="41"/>
      <c r="G452" s="10">
        <v>3</v>
      </c>
      <c r="H452" s="42">
        <v>0.4</v>
      </c>
      <c r="I452" s="43">
        <f>Tableau3[[#This Row],[Stock final]]*Tableau3[[#This Row],[P.U.]]</f>
        <v>1.2000000000000002</v>
      </c>
      <c r="J452" s="183"/>
      <c r="K452"/>
    </row>
    <row r="453" spans="1:11" ht="19.350000000000001" customHeight="1">
      <c r="A453" s="105" t="s">
        <v>72</v>
      </c>
      <c r="B453" s="105" t="s">
        <v>31</v>
      </c>
      <c r="C453" s="119">
        <v>80182</v>
      </c>
      <c r="D453" s="11" t="s">
        <v>164</v>
      </c>
      <c r="F453" s="47"/>
      <c r="G453" s="10">
        <v>8</v>
      </c>
      <c r="H453" s="20">
        <v>7.69</v>
      </c>
      <c r="I453" s="21">
        <f>Tableau3[[#This Row],[Stock final]]*Tableau3[[#This Row],[P.U.]]</f>
        <v>61.52</v>
      </c>
      <c r="J453" s="183"/>
      <c r="K453"/>
    </row>
    <row r="454" spans="1:11" ht="19.5" customHeight="1">
      <c r="A454" s="102" t="s">
        <v>72</v>
      </c>
      <c r="B454" s="102" t="s">
        <v>31</v>
      </c>
      <c r="C454" s="119">
        <v>89285</v>
      </c>
      <c r="D454" s="11" t="s">
        <v>165</v>
      </c>
      <c r="F454" s="13"/>
      <c r="G454" s="10">
        <v>4</v>
      </c>
      <c r="H454" s="14">
        <v>3.92</v>
      </c>
      <c r="I454" s="22">
        <f>Tableau3[[#This Row],[Stock final]]*Tableau3[[#This Row],[P.U.]]</f>
        <v>15.68</v>
      </c>
      <c r="J454" s="183"/>
      <c r="K454"/>
    </row>
    <row r="455" spans="1:11" ht="19.5" customHeight="1">
      <c r="A455" s="102" t="s">
        <v>72</v>
      </c>
      <c r="B455" s="102" t="s">
        <v>31</v>
      </c>
      <c r="C455" s="119">
        <v>130170</v>
      </c>
      <c r="D455" s="11" t="s">
        <v>166</v>
      </c>
      <c r="F455" s="41"/>
      <c r="G455" s="10">
        <v>22</v>
      </c>
      <c r="H455" s="42">
        <v>2.1800000000000002</v>
      </c>
      <c r="I455" s="43">
        <f>Tableau3[[#This Row],[Stock final]]*Tableau3[[#This Row],[P.U.]]</f>
        <v>47.96</v>
      </c>
      <c r="J455" s="183"/>
      <c r="K455"/>
    </row>
    <row r="456" spans="1:11" ht="19.5" customHeight="1">
      <c r="A456" s="102" t="s">
        <v>72</v>
      </c>
      <c r="B456" s="102" t="s">
        <v>31</v>
      </c>
      <c r="C456" s="119">
        <v>130190</v>
      </c>
      <c r="D456" s="11" t="s">
        <v>167</v>
      </c>
      <c r="F456" s="41"/>
      <c r="G456" s="10">
        <v>6</v>
      </c>
      <c r="H456" s="42">
        <v>4.38</v>
      </c>
      <c r="I456" s="43">
        <f>Tableau3[[#This Row],[Stock final]]*Tableau3[[#This Row],[P.U.]]</f>
        <v>26.28</v>
      </c>
      <c r="J456" s="183"/>
      <c r="K456"/>
    </row>
    <row r="457" spans="1:11" ht="19.350000000000001" customHeight="1">
      <c r="A457" s="102" t="s">
        <v>72</v>
      </c>
      <c r="B457" s="102" t="s">
        <v>31</v>
      </c>
      <c r="C457" s="119"/>
      <c r="F457" s="41"/>
      <c r="G457" s="10"/>
      <c r="H457" s="42"/>
      <c r="I457" s="43">
        <f>Tableau3[[#This Row],[Stock final]]*Tableau3[[#This Row],[P.U.]]</f>
        <v>0</v>
      </c>
      <c r="J457" s="183"/>
      <c r="K457"/>
    </row>
    <row r="458" spans="1:11" ht="19.350000000000001" customHeight="1">
      <c r="A458" s="102" t="s">
        <v>72</v>
      </c>
      <c r="B458" s="102" t="s">
        <v>31</v>
      </c>
      <c r="C458" s="119"/>
      <c r="F458" s="47"/>
      <c r="G458" s="10"/>
      <c r="H458" s="49"/>
      <c r="I458" s="50">
        <f>Tableau3[[#This Row],[Stock final]]*Tableau3[[#This Row],[P.U.]]</f>
        <v>0</v>
      </c>
      <c r="J458" s="183"/>
      <c r="K458"/>
    </row>
    <row r="459" spans="1:11" ht="19.350000000000001" customHeight="1">
      <c r="A459" s="102" t="s">
        <v>72</v>
      </c>
      <c r="B459" s="102" t="s">
        <v>31</v>
      </c>
      <c r="C459" s="119"/>
      <c r="F459" s="47"/>
      <c r="G459" s="10"/>
      <c r="H459" s="49"/>
      <c r="I459" s="50">
        <f>Tableau3[[#This Row],[Stock final]]*Tableau3[[#This Row],[P.U.]]</f>
        <v>0</v>
      </c>
      <c r="J459" s="183"/>
      <c r="K459"/>
    </row>
    <row r="460" spans="1:11" ht="19.350000000000001" customHeight="1">
      <c r="A460" s="102" t="s">
        <v>72</v>
      </c>
      <c r="B460" s="102" t="s">
        <v>31</v>
      </c>
      <c r="C460" s="119"/>
      <c r="F460" s="47"/>
      <c r="G460" s="10"/>
      <c r="H460" s="49"/>
      <c r="I460" s="50">
        <f>Tableau3[[#This Row],[Stock final]]*Tableau3[[#This Row],[P.U.]]</f>
        <v>0</v>
      </c>
      <c r="J460" s="183"/>
      <c r="K460"/>
    </row>
    <row r="461" spans="1:11" ht="19.350000000000001" customHeight="1">
      <c r="A461" s="102" t="s">
        <v>72</v>
      </c>
      <c r="B461" s="48"/>
      <c r="C461" s="119"/>
      <c r="F461" s="47"/>
      <c r="G461" s="10"/>
      <c r="H461" s="49"/>
      <c r="I461" s="50">
        <f>Tableau3[[#This Row],[Stock final]]*Tableau3[[#This Row],[P.U.]]</f>
        <v>0</v>
      </c>
      <c r="J461" s="183"/>
      <c r="K461"/>
    </row>
    <row r="462" spans="1:11" ht="19.350000000000001" customHeight="1">
      <c r="A462" s="102" t="s">
        <v>72</v>
      </c>
      <c r="B462" s="48"/>
      <c r="C462" s="118"/>
      <c r="F462" s="47"/>
      <c r="G462" s="10"/>
      <c r="H462" s="49"/>
      <c r="I462" s="50">
        <f>Tableau3[[#This Row],[Stock final]]*Tableau3[[#This Row],[P.U.]]</f>
        <v>0</v>
      </c>
      <c r="J462" s="183"/>
      <c r="K462"/>
    </row>
    <row r="463" spans="1:11" ht="19.350000000000001" customHeight="1">
      <c r="A463" s="102" t="s">
        <v>72</v>
      </c>
      <c r="B463" s="48"/>
      <c r="C463" s="118"/>
      <c r="F463" s="47"/>
      <c r="G463" s="10"/>
      <c r="H463" s="49"/>
      <c r="I463" s="50">
        <f>Tableau3[[#This Row],[Stock final]]*Tableau3[[#This Row],[P.U.]]</f>
        <v>0</v>
      </c>
      <c r="J463" s="183"/>
      <c r="K463"/>
    </row>
    <row r="464" spans="1:11" ht="19.350000000000001" customHeight="1">
      <c r="A464" s="102" t="s">
        <v>72</v>
      </c>
      <c r="B464" s="48"/>
      <c r="C464" s="118"/>
      <c r="F464" s="47"/>
      <c r="G464" s="10"/>
      <c r="H464" s="49"/>
      <c r="I464" s="50">
        <f>Tableau3[[#This Row],[Stock final]]*Tableau3[[#This Row],[P.U.]]</f>
        <v>0</v>
      </c>
      <c r="J464" s="183"/>
      <c r="K464"/>
    </row>
    <row r="465" spans="1:11" ht="19.350000000000001" customHeight="1">
      <c r="A465" s="102" t="s">
        <v>72</v>
      </c>
      <c r="B465" s="91"/>
      <c r="C465" s="118"/>
      <c r="F465" s="47"/>
      <c r="G465" s="10"/>
      <c r="H465" s="49"/>
      <c r="I465" s="50">
        <f>Tableau3[[#This Row],[Stock final]]*Tableau3[[#This Row],[P.U.]]</f>
        <v>0</v>
      </c>
      <c r="J465" s="183"/>
      <c r="K465"/>
    </row>
    <row r="466" spans="1:11" ht="19.350000000000001" customHeight="1">
      <c r="A466" s="102" t="s">
        <v>72</v>
      </c>
      <c r="B466" s="48"/>
      <c r="C466" s="118"/>
      <c r="F466" s="47"/>
      <c r="G466" s="10"/>
      <c r="H466" s="49"/>
      <c r="I466" s="50">
        <f>Tableau3[[#This Row],[Stock final]]*Tableau3[[#This Row],[P.U.]]</f>
        <v>0</v>
      </c>
      <c r="J466" s="183"/>
      <c r="K466"/>
    </row>
    <row r="467" spans="1:11" ht="19.350000000000001" customHeight="1">
      <c r="A467" s="102" t="s">
        <v>72</v>
      </c>
      <c r="B467" s="48"/>
      <c r="C467" s="118"/>
      <c r="F467" s="47"/>
      <c r="G467" s="10"/>
      <c r="H467" s="49"/>
      <c r="I467" s="50">
        <f>Tableau3[[#This Row],[Stock final]]*Tableau3[[#This Row],[P.U.]]</f>
        <v>0</v>
      </c>
      <c r="J467" s="183"/>
      <c r="K467"/>
    </row>
    <row r="468" spans="1:11" ht="19.350000000000001" customHeight="1">
      <c r="A468" s="102" t="s">
        <v>72</v>
      </c>
      <c r="B468" s="48"/>
      <c r="C468" s="118"/>
      <c r="F468" s="47"/>
      <c r="G468" s="10"/>
      <c r="H468" s="49"/>
      <c r="I468" s="50">
        <f>Tableau3[[#This Row],[Stock final]]*Tableau3[[#This Row],[P.U.]]</f>
        <v>0</v>
      </c>
      <c r="J468" s="183"/>
      <c r="K468"/>
    </row>
    <row r="469" spans="1:11" ht="19.350000000000001" customHeight="1">
      <c r="A469" s="102" t="s">
        <v>72</v>
      </c>
      <c r="B469" s="102"/>
      <c r="C469" s="118"/>
      <c r="F469" s="47"/>
      <c r="G469" s="10"/>
      <c r="H469" s="49"/>
      <c r="I469" s="50">
        <f>Tableau3[[#This Row],[Stock final]]*Tableau3[[#This Row],[P.U.]]</f>
        <v>0</v>
      </c>
      <c r="J469" s="183"/>
      <c r="K469"/>
    </row>
    <row r="470" spans="1:11" ht="19.350000000000001" customHeight="1">
      <c r="A470" s="102"/>
      <c r="B470" s="102"/>
      <c r="C470" s="118"/>
      <c r="F470" s="47"/>
      <c r="G470" s="10"/>
      <c r="H470" s="49"/>
      <c r="I470" s="50">
        <f>Tableau3[[#This Row],[Stock final]]*Tableau3[[#This Row],[P.U.]]</f>
        <v>0</v>
      </c>
      <c r="J470" s="183"/>
      <c r="K470"/>
    </row>
    <row r="471" spans="1:11" ht="19.350000000000001" customHeight="1">
      <c r="A471" s="102"/>
      <c r="B471" s="48"/>
      <c r="C471" s="118"/>
      <c r="F471" s="47"/>
      <c r="G471" s="10"/>
      <c r="H471" s="49"/>
      <c r="I471" s="50">
        <f>Tableau3[[#This Row],[Stock final]]*Tableau3[[#This Row],[P.U.]]</f>
        <v>0</v>
      </c>
      <c r="J471" s="183"/>
      <c r="K471"/>
    </row>
    <row r="472" spans="1:11" ht="19.350000000000001" customHeight="1">
      <c r="A472" s="109"/>
      <c r="B472" s="147"/>
      <c r="C472" s="119"/>
      <c r="F472" s="47"/>
      <c r="G472" s="10"/>
      <c r="H472" s="49"/>
      <c r="I472" s="50">
        <f>Tableau3[[#This Row],[Stock final]]*Tableau3[[#This Row],[P.U.]]</f>
        <v>0</v>
      </c>
      <c r="J472" s="183"/>
      <c r="K472"/>
    </row>
    <row r="473" spans="1:11" ht="19.350000000000001" customHeight="1">
      <c r="A473" s="102"/>
      <c r="B473" s="63"/>
      <c r="C473" s="119"/>
      <c r="F473" s="47"/>
      <c r="G473" s="10"/>
      <c r="H473" s="49"/>
      <c r="I473" s="50">
        <f>Tableau3[[#This Row],[Stock final]]*Tableau3[[#This Row],[P.U.]]</f>
        <v>0</v>
      </c>
      <c r="J473" s="183"/>
      <c r="K473"/>
    </row>
    <row r="474" spans="1:11" ht="19.350000000000001" customHeight="1">
      <c r="A474" s="102"/>
      <c r="B474" s="63"/>
      <c r="C474" s="120"/>
      <c r="F474" s="47"/>
      <c r="G474" s="10"/>
      <c r="H474" s="49"/>
      <c r="I474" s="50">
        <f>Tableau3[[#This Row],[Stock final]]*Tableau3[[#This Row],[P.U.]]</f>
        <v>0</v>
      </c>
      <c r="J474" s="183"/>
      <c r="K474"/>
    </row>
    <row r="475" spans="1:11" ht="19.350000000000001" customHeight="1">
      <c r="A475" s="102"/>
      <c r="B475" s="63"/>
      <c r="C475" s="120"/>
      <c r="F475" s="47"/>
      <c r="G475" s="10"/>
      <c r="H475" s="49"/>
      <c r="I475" s="50">
        <f>Tableau3[[#This Row],[Stock final]]*Tableau3[[#This Row],[P.U.]]</f>
        <v>0</v>
      </c>
      <c r="J475" s="183"/>
      <c r="K475"/>
    </row>
    <row r="476" spans="1:11" ht="19.350000000000001" customHeight="1">
      <c r="A476" s="102"/>
      <c r="B476" s="63"/>
      <c r="C476" s="116"/>
      <c r="F476" s="47"/>
      <c r="G476" s="10"/>
      <c r="H476" s="49"/>
      <c r="I476" s="50">
        <f>Tableau3[[#This Row],[Stock final]]*Tableau3[[#This Row],[P.U.]]</f>
        <v>0</v>
      </c>
      <c r="J476" s="183"/>
      <c r="K476"/>
    </row>
    <row r="477" spans="1:11" ht="19.350000000000001" customHeight="1">
      <c r="A477" s="102"/>
      <c r="B477" s="63"/>
      <c r="C477" s="116"/>
      <c r="F477" s="47"/>
      <c r="G477" s="10"/>
      <c r="H477" s="49"/>
      <c r="I477" s="50">
        <f>Tableau3[[#This Row],[Stock final]]*Tableau3[[#This Row],[P.U.]]</f>
        <v>0</v>
      </c>
      <c r="J477" s="183"/>
      <c r="K477"/>
    </row>
    <row r="478" spans="1:11" ht="19.350000000000001" customHeight="1">
      <c r="A478" s="102"/>
      <c r="B478" s="63"/>
      <c r="C478" s="116"/>
      <c r="F478" s="47"/>
      <c r="G478" s="10"/>
      <c r="H478" s="49"/>
      <c r="I478" s="50">
        <f>Tableau3[[#This Row],[Stock final]]*Tableau3[[#This Row],[P.U.]]</f>
        <v>0</v>
      </c>
      <c r="J478" s="183"/>
      <c r="K478"/>
    </row>
    <row r="479" spans="1:11" ht="19.350000000000001" customHeight="1">
      <c r="A479" s="102"/>
      <c r="B479" s="102"/>
      <c r="C479" s="116"/>
      <c r="F479" s="107"/>
      <c r="G479" s="10"/>
      <c r="H479" s="103"/>
      <c r="I479" s="108">
        <f>Tableau3[[#This Row],[Stock final]]*Tableau3[[#This Row],[P.U.]]</f>
        <v>0</v>
      </c>
      <c r="J479" s="183"/>
      <c r="K479"/>
    </row>
    <row r="480" spans="1:11" ht="19.350000000000001" customHeight="1">
      <c r="A480" s="102"/>
      <c r="B480" s="102"/>
      <c r="C480" s="116"/>
      <c r="F480" s="107"/>
      <c r="G480" s="10"/>
      <c r="H480" s="103"/>
      <c r="I480" s="108">
        <f>Tableau3[[#This Row],[Stock final]]*Tableau3[[#This Row],[P.U.]]</f>
        <v>0</v>
      </c>
      <c r="J480" s="183"/>
      <c r="K480"/>
    </row>
    <row r="481" spans="1:11" ht="19.350000000000001" customHeight="1">
      <c r="A481" s="102"/>
      <c r="B481" s="102"/>
      <c r="C481" s="116"/>
      <c r="F481" s="107"/>
      <c r="G481" s="10"/>
      <c r="H481" s="103"/>
      <c r="I481" s="108">
        <f>Tableau3[[#This Row],[Stock final]]*Tableau3[[#This Row],[P.U.]]</f>
        <v>0</v>
      </c>
      <c r="J481" s="183"/>
      <c r="K481"/>
    </row>
    <row r="482" spans="1:11" ht="19.350000000000001" customHeight="1">
      <c r="A482" s="102"/>
      <c r="B482" s="102"/>
      <c r="C482" s="116"/>
      <c r="F482" s="107"/>
      <c r="G482" s="10"/>
      <c r="H482" s="103"/>
      <c r="I482" s="108">
        <f>Tableau3[[#This Row],[Stock final]]*Tableau3[[#This Row],[P.U.]]</f>
        <v>0</v>
      </c>
      <c r="J482" s="183"/>
      <c r="K482"/>
    </row>
    <row r="483" spans="1:11" ht="19.350000000000001" customHeight="1">
      <c r="A483" s="102"/>
      <c r="B483" s="102"/>
      <c r="C483" s="116"/>
      <c r="F483" s="107"/>
      <c r="G483" s="10"/>
      <c r="H483" s="103"/>
      <c r="I483" s="108">
        <f>Tableau3[[#This Row],[Stock final]]*Tableau3[[#This Row],[P.U.]]</f>
        <v>0</v>
      </c>
      <c r="J483" s="183"/>
      <c r="K483"/>
    </row>
    <row r="484" spans="1:11" ht="19.350000000000001" customHeight="1">
      <c r="A484" s="102"/>
      <c r="B484" s="102"/>
      <c r="C484" s="116"/>
      <c r="F484" s="107"/>
      <c r="G484" s="10"/>
      <c r="H484" s="103"/>
      <c r="I484" s="108">
        <f>Tableau3[[#This Row],[Stock final]]*Tableau3[[#This Row],[P.U.]]</f>
        <v>0</v>
      </c>
      <c r="J484" s="183"/>
      <c r="K484"/>
    </row>
    <row r="485" spans="1:11" ht="19.350000000000001" customHeight="1">
      <c r="A485" s="102"/>
      <c r="B485" s="102"/>
      <c r="C485" s="116"/>
      <c r="F485" s="107"/>
      <c r="G485" s="10"/>
      <c r="H485" s="103"/>
      <c r="I485" s="108">
        <f>Tableau3[[#This Row],[Stock final]]*Tableau3[[#This Row],[P.U.]]</f>
        <v>0</v>
      </c>
      <c r="J485" s="183"/>
      <c r="K485"/>
    </row>
    <row r="486" spans="1:11" ht="19.350000000000001" customHeight="1">
      <c r="A486" s="102"/>
      <c r="B486" s="102"/>
      <c r="C486" s="116"/>
      <c r="F486" s="107"/>
      <c r="G486" s="10"/>
      <c r="H486" s="103"/>
      <c r="I486" s="108">
        <f>Tableau3[[#This Row],[Stock final]]*Tableau3[[#This Row],[P.U.]]</f>
        <v>0</v>
      </c>
      <c r="J486" s="183"/>
      <c r="K486"/>
    </row>
    <row r="487" spans="1:11" ht="19.350000000000001" customHeight="1">
      <c r="A487" s="102"/>
      <c r="B487" s="102"/>
      <c r="C487" s="116"/>
      <c r="F487" s="107"/>
      <c r="G487" s="10"/>
      <c r="H487" s="103"/>
      <c r="I487" s="108">
        <f>Tableau3[[#This Row],[Stock final]]*Tableau3[[#This Row],[P.U.]]</f>
        <v>0</v>
      </c>
      <c r="J487" s="183"/>
      <c r="K487"/>
    </row>
    <row r="488" spans="1:11" ht="19.350000000000001" customHeight="1">
      <c r="A488" s="102"/>
      <c r="B488" s="102"/>
      <c r="C488" s="116"/>
      <c r="F488" s="107"/>
      <c r="G488" s="10"/>
      <c r="H488" s="103"/>
      <c r="I488" s="108">
        <f>Tableau3[[#This Row],[Stock final]]*Tableau3[[#This Row],[P.U.]]</f>
        <v>0</v>
      </c>
      <c r="J488" s="183"/>
      <c r="K488"/>
    </row>
    <row r="489" spans="1:11" ht="19.350000000000001" customHeight="1">
      <c r="A489" s="102"/>
      <c r="B489" s="102"/>
      <c r="C489" s="116"/>
      <c r="F489" s="107"/>
      <c r="G489" s="10"/>
      <c r="H489" s="103"/>
      <c r="I489" s="108">
        <f>Tableau3[[#This Row],[Stock final]]*Tableau3[[#This Row],[P.U.]]</f>
        <v>0</v>
      </c>
      <c r="J489" s="183"/>
      <c r="K489"/>
    </row>
    <row r="490" spans="1:11" ht="19.350000000000001" customHeight="1">
      <c r="A490" s="102"/>
      <c r="B490" s="102"/>
      <c r="C490" s="116"/>
      <c r="F490" s="107"/>
      <c r="G490" s="10"/>
      <c r="H490" s="103"/>
      <c r="I490" s="108">
        <f>Tableau3[[#This Row],[Stock final]]*Tableau3[[#This Row],[P.U.]]</f>
        <v>0</v>
      </c>
      <c r="J490" s="183"/>
      <c r="K490"/>
    </row>
    <row r="491" spans="1:11" ht="19.350000000000001" customHeight="1">
      <c r="A491" s="102"/>
      <c r="B491" s="102"/>
      <c r="C491" s="116"/>
      <c r="F491" s="107"/>
      <c r="G491" s="10"/>
      <c r="H491" s="103"/>
      <c r="I491" s="108">
        <f>Tableau3[[#This Row],[Stock final]]*Tableau3[[#This Row],[P.U.]]</f>
        <v>0</v>
      </c>
      <c r="J491" s="183"/>
      <c r="K491"/>
    </row>
    <row r="492" spans="1:11" ht="19.350000000000001" customHeight="1">
      <c r="A492" s="102"/>
      <c r="B492" s="102"/>
      <c r="C492" s="116"/>
      <c r="F492" s="107"/>
      <c r="G492" s="10"/>
      <c r="H492" s="103"/>
      <c r="I492" s="108">
        <f>Tableau3[[#This Row],[Stock final]]*Tableau3[[#This Row],[P.U.]]</f>
        <v>0</v>
      </c>
      <c r="J492" s="183"/>
      <c r="K492"/>
    </row>
    <row r="493" spans="1:11" ht="19.350000000000001" customHeight="1">
      <c r="A493" s="102"/>
      <c r="B493" s="63"/>
      <c r="C493" s="116"/>
      <c r="F493" s="47"/>
      <c r="G493" s="10"/>
      <c r="H493" s="49"/>
      <c r="I493" s="50">
        <f>Tableau3[[#This Row],[Stock final]]*Tableau3[[#This Row],[P.U.]]</f>
        <v>0</v>
      </c>
      <c r="J493" s="183"/>
      <c r="K493"/>
    </row>
    <row r="494" spans="1:11" ht="19.350000000000001" customHeight="1">
      <c r="A494" s="102"/>
      <c r="B494" s="63"/>
      <c r="C494" s="116"/>
      <c r="F494" s="47"/>
      <c r="G494" s="10"/>
      <c r="H494" s="49"/>
      <c r="I494" s="50">
        <f>Tableau3[[#This Row],[Stock final]]*Tableau3[[#This Row],[P.U.]]</f>
        <v>0</v>
      </c>
      <c r="J494" s="183"/>
      <c r="K494"/>
    </row>
    <row r="495" spans="1:11" ht="19.350000000000001" customHeight="1">
      <c r="A495" s="102"/>
      <c r="B495" s="63"/>
      <c r="C495" s="116"/>
      <c r="F495" s="47"/>
      <c r="G495" s="10"/>
      <c r="H495" s="49"/>
      <c r="I495" s="50">
        <f>Tableau3[[#This Row],[Stock final]]*Tableau3[[#This Row],[P.U.]]</f>
        <v>0</v>
      </c>
      <c r="J495" s="183"/>
      <c r="K495"/>
    </row>
    <row r="496" spans="1:11" ht="19.350000000000001" customHeight="1">
      <c r="A496" s="102"/>
      <c r="B496" s="63"/>
      <c r="C496" s="116"/>
      <c r="F496" s="47"/>
      <c r="G496" s="10"/>
      <c r="H496" s="49"/>
      <c r="I496" s="50">
        <f>Tableau3[[#This Row],[Stock final]]*Tableau3[[#This Row],[P.U.]]</f>
        <v>0</v>
      </c>
      <c r="J496" s="183"/>
      <c r="K496"/>
    </row>
    <row r="497" spans="1:11" ht="19.350000000000001" customHeight="1">
      <c r="A497" s="102"/>
      <c r="B497" s="63"/>
      <c r="C497" s="116"/>
      <c r="F497" s="47"/>
      <c r="G497" s="10"/>
      <c r="H497" s="49"/>
      <c r="I497" s="50">
        <f>Tableau3[[#This Row],[Stock final]]*Tableau3[[#This Row],[P.U.]]</f>
        <v>0</v>
      </c>
      <c r="J497" s="183"/>
      <c r="K497"/>
    </row>
    <row r="498" spans="1:11" ht="19.350000000000001" customHeight="1">
      <c r="A498" s="102"/>
      <c r="B498" s="63"/>
      <c r="C498" s="116"/>
      <c r="F498" s="47"/>
      <c r="G498" s="10"/>
      <c r="H498" s="49"/>
      <c r="I498" s="50">
        <f>Tableau3[[#This Row],[Stock final]]*Tableau3[[#This Row],[P.U.]]</f>
        <v>0</v>
      </c>
      <c r="J498" s="183"/>
      <c r="K498"/>
    </row>
    <row r="499" spans="1:11" ht="19.350000000000001" customHeight="1">
      <c r="A499" s="102"/>
      <c r="B499" s="63"/>
      <c r="C499" s="116"/>
      <c r="F499" s="47"/>
      <c r="G499" s="10"/>
      <c r="H499" s="49"/>
      <c r="I499" s="50">
        <f>Tableau3[[#This Row],[Stock final]]*Tableau3[[#This Row],[P.U.]]</f>
        <v>0</v>
      </c>
      <c r="J499" s="183"/>
      <c r="K499"/>
    </row>
    <row r="500" spans="1:11" ht="19.350000000000001" customHeight="1">
      <c r="A500" s="102"/>
      <c r="B500" s="63"/>
      <c r="C500" s="116"/>
      <c r="F500" s="47"/>
      <c r="G500" s="10"/>
      <c r="H500" s="49"/>
      <c r="I500" s="50">
        <f>Tableau3[[#This Row],[Stock final]]*Tableau3[[#This Row],[P.U.]]</f>
        <v>0</v>
      </c>
      <c r="J500" s="183"/>
      <c r="K500"/>
    </row>
    <row r="501" spans="1:11" ht="19.350000000000001" customHeight="1">
      <c r="A501" s="102"/>
      <c r="B501" s="63"/>
      <c r="C501" s="116"/>
      <c r="F501" s="47"/>
      <c r="G501" s="10"/>
      <c r="H501" s="49"/>
      <c r="I501" s="50">
        <f>Tableau3[[#This Row],[Stock final]]*Tableau3[[#This Row],[P.U.]]</f>
        <v>0</v>
      </c>
      <c r="J501" s="183"/>
      <c r="K501"/>
    </row>
    <row r="502" spans="1:11" ht="19.350000000000001" customHeight="1">
      <c r="A502" s="102"/>
      <c r="B502" s="63"/>
      <c r="C502" s="116"/>
      <c r="F502" s="47"/>
      <c r="G502" s="10"/>
      <c r="H502" s="49"/>
      <c r="I502" s="50">
        <f>Tableau3[[#This Row],[Stock final]]*Tableau3[[#This Row],[P.U.]]</f>
        <v>0</v>
      </c>
      <c r="J502" s="183"/>
      <c r="K502"/>
    </row>
    <row r="503" spans="1:11" ht="19.350000000000001" customHeight="1">
      <c r="A503" s="102"/>
      <c r="B503" s="63"/>
      <c r="C503" s="116"/>
      <c r="F503" s="47"/>
      <c r="G503" s="10"/>
      <c r="H503" s="49"/>
      <c r="I503" s="50">
        <f>Tableau3[[#This Row],[Stock final]]*Tableau3[[#This Row],[P.U.]]</f>
        <v>0</v>
      </c>
      <c r="J503" s="183"/>
      <c r="K503"/>
    </row>
    <row r="504" spans="1:11" ht="19.350000000000001" customHeight="1">
      <c r="A504" s="102"/>
      <c r="B504" s="63"/>
      <c r="C504" s="116"/>
      <c r="F504" s="47"/>
      <c r="G504" s="10"/>
      <c r="H504" s="49"/>
      <c r="I504" s="50">
        <f>Tableau3[[#This Row],[Stock final]]*Tableau3[[#This Row],[P.U.]]</f>
        <v>0</v>
      </c>
      <c r="J504" s="183"/>
      <c r="K504"/>
    </row>
    <row r="505" spans="1:11" ht="19.350000000000001" customHeight="1">
      <c r="A505" s="102"/>
      <c r="B505" s="63"/>
      <c r="C505" s="116"/>
      <c r="F505" s="47"/>
      <c r="G505" s="10"/>
      <c r="H505" s="49"/>
      <c r="I505" s="50">
        <f>Tableau3[[#This Row],[Stock final]]*Tableau3[[#This Row],[P.U.]]</f>
        <v>0</v>
      </c>
      <c r="J505" s="183"/>
      <c r="K505"/>
    </row>
    <row r="506" spans="1:11" ht="19.350000000000001" customHeight="1">
      <c r="A506" s="102"/>
      <c r="B506" s="63"/>
      <c r="C506" s="116"/>
      <c r="F506" s="47"/>
      <c r="G506" s="10"/>
      <c r="H506" s="49"/>
      <c r="I506" s="50">
        <f>Tableau3[[#This Row],[Stock final]]*Tableau3[[#This Row],[P.U.]]</f>
        <v>0</v>
      </c>
      <c r="J506" s="183"/>
      <c r="K506"/>
    </row>
    <row r="507" spans="1:11" ht="19.350000000000001" customHeight="1">
      <c r="A507" s="105"/>
      <c r="B507" s="148"/>
      <c r="C507" s="116"/>
      <c r="F507" s="93"/>
      <c r="G507" s="10"/>
      <c r="H507" s="49"/>
      <c r="I507" s="50">
        <f>Tableau3[[#This Row],[Stock final]]*Tableau3[[#This Row],[P.U.]]</f>
        <v>0</v>
      </c>
      <c r="J507" s="183"/>
      <c r="K507"/>
    </row>
    <row r="508" spans="1:11" ht="19.350000000000001" customHeight="1">
      <c r="A508" s="102" t="s">
        <v>71</v>
      </c>
      <c r="B508" s="102" t="s">
        <v>31</v>
      </c>
      <c r="C508" s="116">
        <v>685500</v>
      </c>
      <c r="D508" s="11" t="s">
        <v>113</v>
      </c>
      <c r="F508" s="47"/>
      <c r="G508" s="10">
        <v>1</v>
      </c>
      <c r="H508" s="49">
        <v>2.78</v>
      </c>
      <c r="I508" s="50">
        <f>Tableau3[[#This Row],[Stock final]]*Tableau3[[#This Row],[P.U.]]</f>
        <v>2.78</v>
      </c>
      <c r="J508" s="183"/>
      <c r="K508"/>
    </row>
    <row r="509" spans="1:11" ht="19.350000000000001" customHeight="1">
      <c r="A509" s="102" t="s">
        <v>71</v>
      </c>
      <c r="B509" s="102" t="s">
        <v>31</v>
      </c>
      <c r="C509" s="116">
        <v>26000013</v>
      </c>
      <c r="D509" s="11" t="s">
        <v>40</v>
      </c>
      <c r="F509" s="47"/>
      <c r="G509" s="10">
        <v>21</v>
      </c>
      <c r="H509" s="49">
        <v>0.4</v>
      </c>
      <c r="I509" s="50">
        <f>Tableau3[[#This Row],[Stock final]]*Tableau3[[#This Row],[P.U.]]</f>
        <v>8.4</v>
      </c>
      <c r="J509" s="183"/>
      <c r="K509"/>
    </row>
    <row r="510" spans="1:11" ht="19.350000000000001" customHeight="1">
      <c r="A510" s="102" t="s">
        <v>71</v>
      </c>
      <c r="B510" s="102" t="s">
        <v>31</v>
      </c>
      <c r="C510" s="116">
        <v>26000017</v>
      </c>
      <c r="D510" s="11" t="s">
        <v>41</v>
      </c>
      <c r="F510" s="47"/>
      <c r="G510" s="10">
        <v>30</v>
      </c>
      <c r="H510" s="49">
        <v>0.65</v>
      </c>
      <c r="I510" s="50">
        <f>Tableau3[[#This Row],[Stock final]]*Tableau3[[#This Row],[P.U.]]</f>
        <v>19.5</v>
      </c>
      <c r="J510" s="183"/>
      <c r="K510"/>
    </row>
    <row r="511" spans="1:11" ht="19.350000000000001" customHeight="1">
      <c r="A511" s="102" t="s">
        <v>71</v>
      </c>
      <c r="B511" s="102" t="s">
        <v>31</v>
      </c>
      <c r="C511" s="116">
        <v>26000046</v>
      </c>
      <c r="D511" s="11" t="s">
        <v>42</v>
      </c>
      <c r="F511" s="47"/>
      <c r="G511" s="10">
        <v>10</v>
      </c>
      <c r="H511" s="49">
        <v>2.13</v>
      </c>
      <c r="I511" s="50">
        <f>Tableau3[[#This Row],[Stock final]]*Tableau3[[#This Row],[P.U.]]</f>
        <v>21.299999999999997</v>
      </c>
      <c r="J511" s="183"/>
      <c r="K511"/>
    </row>
    <row r="512" spans="1:11" ht="19.350000000000001" customHeight="1">
      <c r="A512" s="102" t="s">
        <v>71</v>
      </c>
      <c r="B512" s="102" t="s">
        <v>31</v>
      </c>
      <c r="C512" s="116">
        <v>26000049</v>
      </c>
      <c r="D512" s="11" t="s">
        <v>43</v>
      </c>
      <c r="F512" s="47"/>
      <c r="G512" s="10">
        <v>20</v>
      </c>
      <c r="H512" s="49">
        <v>3.2</v>
      </c>
      <c r="I512" s="50">
        <f>Tableau3[[#This Row],[Stock final]]*Tableau3[[#This Row],[P.U.]]</f>
        <v>64</v>
      </c>
      <c r="J512" s="183"/>
      <c r="K512"/>
    </row>
    <row r="513" spans="1:11" ht="19.350000000000001" customHeight="1">
      <c r="A513" s="105" t="s">
        <v>71</v>
      </c>
      <c r="B513" s="105" t="s">
        <v>31</v>
      </c>
      <c r="C513" s="116">
        <v>26000047</v>
      </c>
      <c r="D513" s="11" t="s">
        <v>44</v>
      </c>
      <c r="F513" s="47"/>
      <c r="G513" s="10">
        <v>4</v>
      </c>
      <c r="H513" s="49">
        <v>3</v>
      </c>
      <c r="I513" s="50">
        <f>Tableau3[[#This Row],[Stock final]]*Tableau3[[#This Row],[P.U.]]</f>
        <v>12</v>
      </c>
      <c r="J513" s="183"/>
      <c r="K513"/>
    </row>
    <row r="514" spans="1:11" ht="19.350000000000001" customHeight="1">
      <c r="A514" s="102" t="s">
        <v>71</v>
      </c>
      <c r="B514" s="102" t="s">
        <v>31</v>
      </c>
      <c r="C514" s="116">
        <v>26000050</v>
      </c>
      <c r="D514" s="11" t="s">
        <v>45</v>
      </c>
      <c r="F514" s="47"/>
      <c r="G514" s="10">
        <v>15</v>
      </c>
      <c r="H514" s="49">
        <v>4.9000000000000004</v>
      </c>
      <c r="I514" s="50">
        <f>Tableau3[[#This Row],[Stock final]]*Tableau3[[#This Row],[P.U.]]</f>
        <v>73.5</v>
      </c>
      <c r="J514" s="183"/>
      <c r="K514"/>
    </row>
    <row r="515" spans="1:11" ht="19.350000000000001" customHeight="1">
      <c r="A515" s="102" t="s">
        <v>71</v>
      </c>
      <c r="B515" s="102" t="s">
        <v>31</v>
      </c>
      <c r="C515" s="116">
        <v>26000016</v>
      </c>
      <c r="D515" s="11" t="s">
        <v>46</v>
      </c>
      <c r="F515" s="53"/>
      <c r="G515" s="10">
        <v>6</v>
      </c>
      <c r="H515" s="54">
        <v>3.5</v>
      </c>
      <c r="I515" s="55">
        <f>Tableau3[[#This Row],[Stock final]]*Tableau3[[#This Row],[P.U.]]</f>
        <v>21</v>
      </c>
      <c r="J515" s="183"/>
      <c r="K515"/>
    </row>
    <row r="516" spans="1:11" ht="19.350000000000001" customHeight="1">
      <c r="A516" s="102" t="s">
        <v>71</v>
      </c>
      <c r="B516" s="102" t="s">
        <v>31</v>
      </c>
      <c r="C516" s="116">
        <v>26000051</v>
      </c>
      <c r="D516" s="11" t="s">
        <v>47</v>
      </c>
      <c r="F516" s="53"/>
      <c r="G516" s="10">
        <v>2</v>
      </c>
      <c r="H516" s="54">
        <v>9.9</v>
      </c>
      <c r="I516" s="55">
        <f>Tableau3[[#This Row],[Stock final]]*Tableau3[[#This Row],[P.U.]]</f>
        <v>19.8</v>
      </c>
      <c r="J516" s="183"/>
      <c r="K516"/>
    </row>
    <row r="517" spans="1:11" ht="19.350000000000001" customHeight="1">
      <c r="A517" s="102" t="s">
        <v>71</v>
      </c>
      <c r="B517" s="102" t="s">
        <v>31</v>
      </c>
      <c r="C517" s="116">
        <v>690860</v>
      </c>
      <c r="D517" s="11" t="s">
        <v>86</v>
      </c>
      <c r="F517" s="53"/>
      <c r="G517" s="10">
        <v>22</v>
      </c>
      <c r="H517" s="54">
        <v>2.2000000000000002</v>
      </c>
      <c r="I517" s="55">
        <f>Tableau3[[#This Row],[Stock final]]*Tableau3[[#This Row],[P.U.]]</f>
        <v>48.400000000000006</v>
      </c>
      <c r="J517" s="183"/>
      <c r="K517"/>
    </row>
    <row r="518" spans="1:11" ht="19.350000000000001" customHeight="1">
      <c r="A518" s="102" t="s">
        <v>71</v>
      </c>
      <c r="B518" s="102" t="s">
        <v>31</v>
      </c>
      <c r="C518" s="116">
        <v>690170</v>
      </c>
      <c r="D518" s="11" t="s">
        <v>87</v>
      </c>
      <c r="F518" s="53"/>
      <c r="G518" s="10">
        <v>4</v>
      </c>
      <c r="H518" s="54">
        <v>13.54</v>
      </c>
      <c r="I518" s="55">
        <f>Tableau3[[#This Row],[Stock final]]*Tableau3[[#This Row],[P.U.]]</f>
        <v>54.16</v>
      </c>
      <c r="J518" s="183"/>
      <c r="K518"/>
    </row>
    <row r="519" spans="1:11" ht="19.350000000000001" customHeight="1">
      <c r="A519" s="102" t="s">
        <v>71</v>
      </c>
      <c r="B519" s="102" t="s">
        <v>31</v>
      </c>
      <c r="C519" s="116"/>
      <c r="F519" s="53"/>
      <c r="G519" s="10"/>
      <c r="H519" s="54"/>
      <c r="I519" s="55">
        <f>Tableau3[[#This Row],[Stock final]]*Tableau3[[#This Row],[P.U.]]</f>
        <v>0</v>
      </c>
      <c r="J519" s="183"/>
      <c r="K519"/>
    </row>
    <row r="520" spans="1:11" ht="19.350000000000001" customHeight="1">
      <c r="A520" s="109" t="s">
        <v>71</v>
      </c>
      <c r="B520" s="109" t="s">
        <v>31</v>
      </c>
      <c r="C520" s="116"/>
      <c r="F520" s="53"/>
      <c r="G520" s="10"/>
      <c r="H520" s="54"/>
      <c r="I520" s="55">
        <f>Tableau3[[#This Row],[Stock final]]*Tableau3[[#This Row],[P.U.]]</f>
        <v>0</v>
      </c>
      <c r="J520" s="183"/>
      <c r="K520"/>
    </row>
    <row r="521" spans="1:11" ht="19.350000000000001" customHeight="1">
      <c r="A521" s="102" t="s">
        <v>71</v>
      </c>
      <c r="B521" s="102" t="s">
        <v>31</v>
      </c>
      <c r="C521" s="116"/>
      <c r="F521" s="53"/>
      <c r="G521" s="10"/>
      <c r="H521" s="54"/>
      <c r="I521" s="55">
        <f>Tableau3[[#This Row],[Stock final]]*Tableau3[[#This Row],[P.U.]]</f>
        <v>0</v>
      </c>
      <c r="J521" s="183"/>
      <c r="K521"/>
    </row>
    <row r="522" spans="1:11" ht="19.350000000000001" customHeight="1">
      <c r="A522" s="102" t="s">
        <v>71</v>
      </c>
      <c r="B522" s="102" t="s">
        <v>31</v>
      </c>
      <c r="C522" s="116"/>
      <c r="F522" s="53"/>
      <c r="G522" s="10"/>
      <c r="H522" s="54"/>
      <c r="I522" s="55">
        <f>Tableau3[[#This Row],[Stock final]]*Tableau3[[#This Row],[P.U.]]</f>
        <v>0</v>
      </c>
      <c r="J522" s="183"/>
      <c r="K522"/>
    </row>
    <row r="523" spans="1:11" ht="19.350000000000001" customHeight="1">
      <c r="A523" s="102" t="s">
        <v>71</v>
      </c>
      <c r="B523" s="102" t="s">
        <v>31</v>
      </c>
      <c r="C523" s="116"/>
      <c r="F523" s="53"/>
      <c r="G523" s="10"/>
      <c r="H523" s="54"/>
      <c r="I523" s="55">
        <f>Tableau3[[#This Row],[Stock final]]*Tableau3[[#This Row],[P.U.]]</f>
        <v>0</v>
      </c>
      <c r="J523" s="183"/>
      <c r="K523"/>
    </row>
    <row r="524" spans="1:11" ht="19.350000000000001" customHeight="1">
      <c r="A524" s="102"/>
      <c r="B524" s="51"/>
      <c r="C524" s="116"/>
      <c r="F524" s="53"/>
      <c r="G524" s="10"/>
      <c r="H524" s="54"/>
      <c r="I524" s="55">
        <f>Tableau3[[#This Row],[Stock final]]*Tableau3[[#This Row],[P.U.]]</f>
        <v>0</v>
      </c>
      <c r="J524" s="183"/>
      <c r="K524"/>
    </row>
    <row r="525" spans="1:11" ht="19.350000000000001" customHeight="1">
      <c r="A525" s="102"/>
      <c r="B525" s="102"/>
      <c r="C525" s="116"/>
      <c r="F525" s="53"/>
      <c r="G525" s="10"/>
      <c r="H525" s="54"/>
      <c r="I525" s="55">
        <f>Tableau3[[#This Row],[Stock final]]*Tableau3[[#This Row],[P.U.]]</f>
        <v>0</v>
      </c>
      <c r="J525" s="183"/>
      <c r="K525"/>
    </row>
    <row r="526" spans="1:11" ht="19.350000000000001" customHeight="1">
      <c r="A526" s="102"/>
      <c r="B526" s="102"/>
      <c r="C526" s="116"/>
      <c r="F526" s="53"/>
      <c r="G526" s="10"/>
      <c r="H526" s="54"/>
      <c r="I526" s="55">
        <f>Tableau3[[#This Row],[Stock final]]*Tableau3[[#This Row],[P.U.]]</f>
        <v>0</v>
      </c>
      <c r="J526" s="183"/>
      <c r="K526"/>
    </row>
    <row r="527" spans="1:11" ht="19.350000000000001" customHeight="1">
      <c r="A527" s="102"/>
      <c r="B527" s="102"/>
      <c r="C527" s="116"/>
      <c r="F527" s="53"/>
      <c r="G527" s="10"/>
      <c r="H527" s="54"/>
      <c r="I527" s="55">
        <f>Tableau3[[#This Row],[Stock final]]*Tableau3[[#This Row],[P.U.]]</f>
        <v>0</v>
      </c>
      <c r="J527" s="183"/>
      <c r="K527"/>
    </row>
    <row r="528" spans="1:11" ht="19.350000000000001" customHeight="1">
      <c r="A528" s="102"/>
      <c r="B528" s="102"/>
      <c r="C528" s="116"/>
      <c r="F528" s="53"/>
      <c r="G528" s="10"/>
      <c r="H528" s="54"/>
      <c r="I528" s="55">
        <f>Tableau3[[#This Row],[Stock final]]*Tableau3[[#This Row],[P.U.]]</f>
        <v>0</v>
      </c>
      <c r="J528" s="183"/>
      <c r="K528"/>
    </row>
    <row r="529" spans="1:11" ht="19.350000000000001" customHeight="1">
      <c r="A529" s="102"/>
      <c r="B529" s="102"/>
      <c r="C529" s="116"/>
      <c r="F529" s="53"/>
      <c r="G529" s="10"/>
      <c r="H529" s="54"/>
      <c r="I529" s="55">
        <f>Tableau3[[#This Row],[Stock final]]*Tableau3[[#This Row],[P.U.]]</f>
        <v>0</v>
      </c>
      <c r="J529" s="183"/>
      <c r="K529"/>
    </row>
    <row r="530" spans="1:11" ht="19.350000000000001" customHeight="1">
      <c r="A530" s="102"/>
      <c r="B530" s="51"/>
      <c r="C530" s="116"/>
      <c r="F530" s="53"/>
      <c r="G530" s="10"/>
      <c r="H530" s="54"/>
      <c r="I530" s="55">
        <f>Tableau3[[#This Row],[Stock final]]*Tableau3[[#This Row],[P.U.]]</f>
        <v>0</v>
      </c>
      <c r="J530" s="183"/>
      <c r="K530"/>
    </row>
    <row r="531" spans="1:11" ht="19.350000000000001" customHeight="1">
      <c r="A531" s="105"/>
      <c r="B531" s="92"/>
      <c r="C531" s="116"/>
      <c r="F531" s="53"/>
      <c r="G531" s="10"/>
      <c r="H531" s="54"/>
      <c r="I531" s="55">
        <f>Tableau3[[#This Row],[Stock final]]*Tableau3[[#This Row],[P.U.]]</f>
        <v>0</v>
      </c>
      <c r="J531" s="183"/>
      <c r="K531"/>
    </row>
    <row r="532" spans="1:11" ht="19.350000000000001" customHeight="1">
      <c r="A532" s="102"/>
      <c r="B532" s="51"/>
      <c r="C532" s="116"/>
      <c r="F532" s="53"/>
      <c r="G532" s="10"/>
      <c r="H532" s="54"/>
      <c r="I532" s="55">
        <f>Tableau3[[#This Row],[Stock final]]*Tableau3[[#This Row],[P.U.]]</f>
        <v>0</v>
      </c>
      <c r="J532" s="183"/>
      <c r="K532"/>
    </row>
    <row r="533" spans="1:11" ht="19.350000000000001" customHeight="1">
      <c r="A533" s="102"/>
      <c r="B533" s="51"/>
      <c r="C533" s="116"/>
      <c r="F533" s="53"/>
      <c r="G533" s="10"/>
      <c r="H533" s="54"/>
      <c r="I533" s="55">
        <f>Tableau3[[#This Row],[Stock final]]*Tableau3[[#This Row],[P.U.]]</f>
        <v>0</v>
      </c>
      <c r="J533" s="183"/>
      <c r="K533"/>
    </row>
    <row r="534" spans="1:11" ht="19.350000000000001" customHeight="1">
      <c r="A534" s="102"/>
      <c r="B534" s="51"/>
      <c r="C534" s="116"/>
      <c r="F534" s="53"/>
      <c r="G534" s="10"/>
      <c r="H534" s="54"/>
      <c r="I534" s="55">
        <f>Tableau3[[#This Row],[Stock final]]*Tableau3[[#This Row],[P.U.]]</f>
        <v>0</v>
      </c>
      <c r="J534" s="183"/>
      <c r="K534"/>
    </row>
    <row r="535" spans="1:11" ht="19.350000000000001" customHeight="1">
      <c r="A535" s="102"/>
      <c r="B535" s="51"/>
      <c r="C535" s="116"/>
      <c r="F535" s="53"/>
      <c r="G535" s="10"/>
      <c r="H535" s="54"/>
      <c r="I535" s="55">
        <f>Tableau3[[#This Row],[Stock final]]*Tableau3[[#This Row],[P.U.]]</f>
        <v>0</v>
      </c>
      <c r="J535" s="183"/>
      <c r="K535"/>
    </row>
    <row r="536" spans="1:11" ht="19.350000000000001" customHeight="1">
      <c r="A536" s="109"/>
      <c r="B536" s="149"/>
      <c r="C536" s="116"/>
      <c r="F536" s="53"/>
      <c r="G536" s="10"/>
      <c r="H536" s="54"/>
      <c r="I536" s="55">
        <f>Tableau3[[#This Row],[Stock final]]*Tableau3[[#This Row],[P.U.]]</f>
        <v>0</v>
      </c>
      <c r="J536" s="183"/>
      <c r="K536"/>
    </row>
    <row r="537" spans="1:11" ht="19.350000000000001" customHeight="1">
      <c r="A537" s="105"/>
      <c r="B537" s="105"/>
      <c r="C537" s="116"/>
      <c r="F537" s="53"/>
      <c r="G537" s="10"/>
      <c r="H537" s="54"/>
      <c r="I537" s="55">
        <f>Tableau3[[#This Row],[Stock final]]*Tableau3[[#This Row],[P.U.]]</f>
        <v>0</v>
      </c>
      <c r="J537" s="183"/>
      <c r="K537"/>
    </row>
    <row r="538" spans="1:11" ht="19.350000000000001" customHeight="1">
      <c r="A538" s="109"/>
      <c r="B538" s="109"/>
      <c r="C538" s="116"/>
      <c r="F538" s="53"/>
      <c r="G538" s="10"/>
      <c r="H538" s="54"/>
      <c r="I538" s="55">
        <f>Tableau3[[#This Row],[Stock final]]*Tableau3[[#This Row],[P.U.]]</f>
        <v>0</v>
      </c>
      <c r="J538" s="183"/>
      <c r="K538"/>
    </row>
    <row r="539" spans="1:11" ht="19.350000000000001" customHeight="1">
      <c r="A539" s="105"/>
      <c r="B539" s="105"/>
      <c r="C539" s="116"/>
      <c r="F539" s="53"/>
      <c r="G539" s="10"/>
      <c r="H539" s="54"/>
      <c r="I539" s="55">
        <f>Tableau3[[#This Row],[Stock final]]*Tableau3[[#This Row],[P.U.]]</f>
        <v>0</v>
      </c>
      <c r="J539" s="183"/>
      <c r="K539"/>
    </row>
    <row r="540" spans="1:11" ht="19.350000000000001" customHeight="1">
      <c r="A540" s="102"/>
      <c r="B540" s="51"/>
      <c r="C540" s="116"/>
      <c r="F540" s="53"/>
      <c r="G540" s="10"/>
      <c r="H540" s="54"/>
      <c r="I540" s="55">
        <f>Tableau3[[#This Row],[Stock final]]*Tableau3[[#This Row],[P.U.]]</f>
        <v>0</v>
      </c>
      <c r="J540" s="183"/>
      <c r="K540"/>
    </row>
    <row r="541" spans="1:11" ht="19.350000000000001" customHeight="1">
      <c r="A541" s="102"/>
      <c r="B541" s="51"/>
      <c r="C541" s="116"/>
      <c r="F541" s="53"/>
      <c r="G541" s="10"/>
      <c r="H541" s="54"/>
      <c r="I541" s="55">
        <f>Tableau3[[#This Row],[Stock final]]*Tableau3[[#This Row],[P.U.]]</f>
        <v>0</v>
      </c>
      <c r="J541" s="183"/>
      <c r="K541"/>
    </row>
    <row r="542" spans="1:11" ht="19.350000000000001" customHeight="1">
      <c r="A542" s="102"/>
      <c r="B542" s="51"/>
      <c r="C542" s="116"/>
      <c r="F542" s="53"/>
      <c r="G542" s="10"/>
      <c r="H542" s="54"/>
      <c r="I542" s="55">
        <f>Tableau3[[#This Row],[Stock final]]*Tableau3[[#This Row],[P.U.]]</f>
        <v>0</v>
      </c>
      <c r="J542" s="183"/>
      <c r="K542"/>
    </row>
    <row r="543" spans="1:11" ht="19.350000000000001" customHeight="1">
      <c r="A543" s="102"/>
      <c r="B543" s="91"/>
      <c r="C543" s="116"/>
      <c r="F543" s="53"/>
      <c r="G543" s="10"/>
      <c r="H543" s="54"/>
      <c r="I543" s="55">
        <f>Tableau3[[#This Row],[Stock final]]*Tableau3[[#This Row],[P.U.]]</f>
        <v>0</v>
      </c>
      <c r="J543" s="183"/>
      <c r="K543"/>
    </row>
    <row r="544" spans="1:11" ht="19.350000000000001" customHeight="1">
      <c r="A544" s="102"/>
      <c r="B544" s="91"/>
      <c r="C544" s="116"/>
      <c r="F544" s="53"/>
      <c r="G544" s="10"/>
      <c r="H544" s="54"/>
      <c r="I544" s="55">
        <f>Tableau3[[#This Row],[Stock final]]*Tableau3[[#This Row],[P.U.]]</f>
        <v>0</v>
      </c>
      <c r="J544" s="183"/>
      <c r="K544"/>
    </row>
    <row r="545" spans="1:11" ht="19.350000000000001" customHeight="1">
      <c r="A545" s="102"/>
      <c r="B545" s="102"/>
      <c r="C545" s="116"/>
      <c r="F545" s="53"/>
      <c r="G545" s="10"/>
      <c r="H545" s="54"/>
      <c r="I545" s="55">
        <f>Tableau3[[#This Row],[Stock final]]*Tableau3[[#This Row],[P.U.]]</f>
        <v>0</v>
      </c>
      <c r="J545" s="183"/>
      <c r="K545"/>
    </row>
    <row r="546" spans="1:11" ht="19.350000000000001" customHeight="1">
      <c r="A546" s="102"/>
      <c r="B546" s="102"/>
      <c r="C546" s="116"/>
      <c r="D546" s="166"/>
      <c r="F546" s="53"/>
      <c r="G546" s="10"/>
      <c r="H546" s="54"/>
      <c r="I546" s="55">
        <f>Tableau3[[#This Row],[Stock final]]*Tableau3[[#This Row],[P.U.]]</f>
        <v>0</v>
      </c>
      <c r="J546" s="183"/>
      <c r="K546"/>
    </row>
    <row r="547" spans="1:11" ht="19.350000000000001" customHeight="1">
      <c r="A547" s="102"/>
      <c r="B547" s="102"/>
      <c r="C547" s="116"/>
      <c r="F547" s="53"/>
      <c r="G547" s="10"/>
      <c r="H547" s="54"/>
      <c r="I547" s="55">
        <f>Tableau3[[#This Row],[Stock final]]*Tableau3[[#This Row],[P.U.]]</f>
        <v>0</v>
      </c>
      <c r="J547" s="183"/>
      <c r="K547"/>
    </row>
    <row r="548" spans="1:11" ht="19.350000000000001" customHeight="1">
      <c r="A548" s="102"/>
      <c r="B548" s="91"/>
      <c r="C548" s="116"/>
      <c r="F548" s="53"/>
      <c r="G548" s="10"/>
      <c r="H548" s="54"/>
      <c r="I548" s="55">
        <f>Tableau3[[#This Row],[Stock final]]*Tableau3[[#This Row],[P.U.]]</f>
        <v>0</v>
      </c>
      <c r="J548" s="183"/>
      <c r="K548"/>
    </row>
    <row r="549" spans="1:11" ht="19.350000000000001" customHeight="1">
      <c r="A549" s="102"/>
      <c r="B549" s="51"/>
      <c r="C549" s="116"/>
      <c r="F549" s="53"/>
      <c r="G549" s="10"/>
      <c r="H549" s="54"/>
      <c r="I549" s="55">
        <f>Tableau3[[#This Row],[Stock final]]*Tableau3[[#This Row],[P.U.]]</f>
        <v>0</v>
      </c>
      <c r="J549" s="183"/>
      <c r="K549"/>
    </row>
    <row r="550" spans="1:11" ht="19.350000000000001" customHeight="1">
      <c r="A550" s="109"/>
      <c r="B550" s="149"/>
      <c r="C550" s="116"/>
      <c r="F550" s="53"/>
      <c r="G550" s="10"/>
      <c r="H550" s="54"/>
      <c r="I550" s="55">
        <f>Tableau3[[#This Row],[Stock final]]*Tableau3[[#This Row],[P.U.]]</f>
        <v>0</v>
      </c>
      <c r="J550" s="183"/>
      <c r="K550"/>
    </row>
    <row r="551" spans="1:11" ht="19.350000000000001" customHeight="1">
      <c r="A551" s="105"/>
      <c r="B551" s="92"/>
      <c r="C551" s="116"/>
      <c r="F551" s="53"/>
      <c r="G551" s="10"/>
      <c r="H551" s="54"/>
      <c r="I551" s="55">
        <f>Tableau3[[#This Row],[Stock final]]*Tableau3[[#This Row],[P.U.]]</f>
        <v>0</v>
      </c>
      <c r="J551" s="183"/>
      <c r="K551"/>
    </row>
    <row r="552" spans="1:11" ht="19.350000000000001" customHeight="1">
      <c r="A552" s="109"/>
      <c r="B552" s="149"/>
      <c r="C552" s="116"/>
      <c r="F552" s="53"/>
      <c r="G552" s="10"/>
      <c r="H552" s="54"/>
      <c r="I552" s="55">
        <f>Tableau3[[#This Row],[Stock final]]*Tableau3[[#This Row],[P.U.]]</f>
        <v>0</v>
      </c>
      <c r="J552" s="183"/>
      <c r="K552"/>
    </row>
    <row r="553" spans="1:11" ht="19.350000000000001" customHeight="1">
      <c r="A553" s="105"/>
      <c r="B553" s="92"/>
      <c r="C553" s="116"/>
      <c r="F553" s="53"/>
      <c r="G553" s="10"/>
      <c r="H553" s="54"/>
      <c r="I553" s="55">
        <f>Tableau3[[#This Row],[Stock final]]*Tableau3[[#This Row],[P.U.]]</f>
        <v>0</v>
      </c>
      <c r="J553" s="183"/>
      <c r="K553"/>
    </row>
    <row r="554" spans="1:11" ht="19.350000000000001" customHeight="1">
      <c r="A554" s="102"/>
      <c r="B554" s="51"/>
      <c r="C554" s="116"/>
      <c r="F554" s="53"/>
      <c r="G554" s="10"/>
      <c r="H554" s="54"/>
      <c r="I554" s="55">
        <f>Tableau3[[#This Row],[Stock final]]*Tableau3[[#This Row],[P.U.]]</f>
        <v>0</v>
      </c>
      <c r="J554" s="183"/>
      <c r="K554"/>
    </row>
    <row r="555" spans="1:11" ht="19.350000000000001" customHeight="1">
      <c r="A555" s="102"/>
      <c r="B555" s="51"/>
      <c r="C555" s="116"/>
      <c r="F555" s="53"/>
      <c r="G555" s="10"/>
      <c r="H555" s="54"/>
      <c r="I555" s="55">
        <f>Tableau3[[#This Row],[Stock final]]*Tableau3[[#This Row],[P.U.]]</f>
        <v>0</v>
      </c>
      <c r="J555" s="183"/>
      <c r="K555"/>
    </row>
    <row r="556" spans="1:11" ht="19.350000000000001" customHeight="1">
      <c r="A556" s="102"/>
      <c r="B556" s="91"/>
      <c r="C556" s="116"/>
      <c r="F556" s="53"/>
      <c r="G556" s="10"/>
      <c r="H556" s="54"/>
      <c r="I556" s="55">
        <f>Tableau3[[#This Row],[Stock final]]*Tableau3[[#This Row],[P.U.]]</f>
        <v>0</v>
      </c>
      <c r="J556" s="183"/>
      <c r="K556"/>
    </row>
    <row r="557" spans="1:11" ht="19.350000000000001" customHeight="1">
      <c r="A557" s="102"/>
      <c r="B557" s="91"/>
      <c r="C557" s="116"/>
      <c r="F557" s="53"/>
      <c r="G557" s="10"/>
      <c r="H557" s="54"/>
      <c r="I557" s="55">
        <f>Tableau3[[#This Row],[Stock final]]*Tableau3[[#This Row],[P.U.]]</f>
        <v>0</v>
      </c>
      <c r="J557" s="183"/>
      <c r="K557"/>
    </row>
    <row r="558" spans="1:11" ht="19.350000000000001" customHeight="1">
      <c r="A558" s="102"/>
      <c r="B558" s="51"/>
      <c r="C558" s="116"/>
      <c r="F558" s="53"/>
      <c r="G558" s="10"/>
      <c r="H558" s="54"/>
      <c r="I558" s="55">
        <f>Tableau3[[#This Row],[Stock final]]*Tableau3[[#This Row],[P.U.]]</f>
        <v>0</v>
      </c>
      <c r="J558" s="183"/>
      <c r="K558"/>
    </row>
    <row r="559" spans="1:11" ht="19.350000000000001" customHeight="1">
      <c r="A559" s="102"/>
      <c r="B559" s="51"/>
      <c r="C559" s="116"/>
      <c r="D559" s="122"/>
      <c r="F559" s="53"/>
      <c r="G559" s="10"/>
      <c r="H559" s="54"/>
      <c r="I559" s="55">
        <f>Tableau3[[#This Row],[Stock final]]*Tableau3[[#This Row],[P.U.]]</f>
        <v>0</v>
      </c>
      <c r="J559" s="183"/>
      <c r="K559"/>
    </row>
    <row r="560" spans="1:11" ht="19.350000000000001" customHeight="1">
      <c r="A560" s="109"/>
      <c r="B560" s="109"/>
      <c r="C560" s="116"/>
      <c r="D560" s="167"/>
      <c r="F560" s="53"/>
      <c r="G560" s="10"/>
      <c r="H560" s="54"/>
      <c r="I560" s="55">
        <f>Tableau3[[#This Row],[Stock final]]*Tableau3[[#This Row],[P.U.]]</f>
        <v>0</v>
      </c>
      <c r="J560" s="183"/>
      <c r="K560"/>
    </row>
    <row r="561" spans="1:11" ht="19.350000000000001" customHeight="1">
      <c r="A561" s="105"/>
      <c r="B561" s="105"/>
      <c r="C561" s="116"/>
      <c r="D561" s="167"/>
      <c r="F561" s="53"/>
      <c r="G561" s="10"/>
      <c r="H561" s="54"/>
      <c r="I561" s="55">
        <f>Tableau3[[#This Row],[Stock final]]*Tableau3[[#This Row],[P.U.]]</f>
        <v>0</v>
      </c>
      <c r="J561" s="183"/>
      <c r="K561"/>
    </row>
    <row r="562" spans="1:11" ht="19.350000000000001" customHeight="1">
      <c r="A562" s="102"/>
      <c r="B562" s="91"/>
      <c r="C562" s="116"/>
      <c r="F562" s="53"/>
      <c r="G562" s="10"/>
      <c r="H562" s="54"/>
      <c r="I562" s="55">
        <f>Tableau3[[#This Row],[Stock final]]*Tableau3[[#This Row],[P.U.]]</f>
        <v>0</v>
      </c>
      <c r="J562" s="183"/>
      <c r="K562"/>
    </row>
    <row r="563" spans="1:11" ht="19.350000000000001" customHeight="1">
      <c r="A563" s="102"/>
      <c r="B563" s="102"/>
      <c r="C563" s="116"/>
      <c r="F563" s="53"/>
      <c r="G563" s="10"/>
      <c r="H563" s="54"/>
      <c r="I563" s="55">
        <f>Tableau3[[#This Row],[Stock final]]*Tableau3[[#This Row],[P.U.]]</f>
        <v>0</v>
      </c>
      <c r="J563" s="183"/>
      <c r="K563"/>
    </row>
    <row r="564" spans="1:11" ht="19.350000000000001" customHeight="1">
      <c r="A564" s="102"/>
      <c r="B564" s="91"/>
      <c r="C564" s="116"/>
      <c r="D564" s="167"/>
      <c r="F564" s="53"/>
      <c r="G564" s="10"/>
      <c r="H564" s="54"/>
      <c r="I564" s="55">
        <f>Tableau3[[#This Row],[Stock final]]*Tableau3[[#This Row],[P.U.]]</f>
        <v>0</v>
      </c>
      <c r="J564" s="183"/>
      <c r="K564"/>
    </row>
    <row r="565" spans="1:11" ht="19.350000000000001" customHeight="1">
      <c r="A565" s="102"/>
      <c r="B565" s="102"/>
      <c r="C565" s="116"/>
      <c r="D565" s="167"/>
      <c r="F565" s="53"/>
      <c r="G565" s="10"/>
      <c r="H565" s="54"/>
      <c r="I565" s="55">
        <f>Tableau3[[#This Row],[Stock final]]*Tableau3[[#This Row],[P.U.]]</f>
        <v>0</v>
      </c>
      <c r="J565" s="183"/>
      <c r="K565"/>
    </row>
    <row r="566" spans="1:11" ht="19.350000000000001" customHeight="1">
      <c r="A566" s="102"/>
      <c r="B566" s="91"/>
      <c r="C566" s="116"/>
      <c r="D566" s="167"/>
      <c r="F566" s="53"/>
      <c r="G566" s="10"/>
      <c r="H566" s="54"/>
      <c r="I566" s="55">
        <f>Tableau3[[#This Row],[Stock final]]*Tableau3[[#This Row],[P.U.]]</f>
        <v>0</v>
      </c>
      <c r="J566" s="183"/>
      <c r="K566"/>
    </row>
    <row r="567" spans="1:11" ht="19.350000000000001" customHeight="1">
      <c r="A567" s="102"/>
      <c r="B567" s="51"/>
      <c r="C567" s="116"/>
      <c r="D567" s="122"/>
      <c r="F567" s="53"/>
      <c r="G567" s="10"/>
      <c r="H567" s="54"/>
      <c r="I567" s="55">
        <f>Tableau3[[#This Row],[Stock final]]*Tableau3[[#This Row],[P.U.]]</f>
        <v>0</v>
      </c>
      <c r="J567" s="183"/>
      <c r="K567"/>
    </row>
    <row r="568" spans="1:11" ht="22.5" customHeight="1">
      <c r="A568" s="109"/>
      <c r="B568" s="149"/>
      <c r="C568" s="116"/>
      <c r="D568" s="168"/>
      <c r="F568" s="53"/>
      <c r="G568" s="10"/>
      <c r="H568" s="54"/>
      <c r="I568" s="55">
        <f>Tableau3[[#This Row],[Stock final]]*Tableau3[[#This Row],[P.U.]]</f>
        <v>0</v>
      </c>
      <c r="J568" s="183"/>
      <c r="K568"/>
    </row>
    <row r="569" spans="1:11" ht="22.5" customHeight="1">
      <c r="A569" s="102"/>
      <c r="B569" s="51"/>
      <c r="C569" s="116"/>
      <c r="D569" s="168"/>
      <c r="F569" s="53"/>
      <c r="G569" s="10"/>
      <c r="H569" s="54"/>
      <c r="I569" s="55">
        <f>Tableau3[[#This Row],[Stock final]]*Tableau3[[#This Row],[P.U.]]</f>
        <v>0</v>
      </c>
      <c r="J569" s="183"/>
      <c r="K569"/>
    </row>
    <row r="570" spans="1:11" ht="22.5" customHeight="1">
      <c r="A570" s="102"/>
      <c r="B570" s="102"/>
      <c r="C570" s="116"/>
      <c r="D570" s="168"/>
      <c r="F570" s="53"/>
      <c r="G570" s="10"/>
      <c r="H570" s="54"/>
      <c r="I570" s="55">
        <f>Tableau3[[#This Row],[Stock final]]*Tableau3[[#This Row],[P.U.]]</f>
        <v>0</v>
      </c>
      <c r="J570" s="183"/>
      <c r="K570"/>
    </row>
    <row r="571" spans="1:11" ht="18.75" customHeight="1">
      <c r="A571" s="102"/>
      <c r="B571" s="102"/>
      <c r="C571" s="116"/>
      <c r="D571" s="168"/>
      <c r="F571" s="53"/>
      <c r="G571" s="10"/>
      <c r="H571" s="54"/>
      <c r="I571" s="55">
        <f>Tableau3[[#This Row],[Stock final]]*Tableau3[[#This Row],[P.U.]]</f>
        <v>0</v>
      </c>
      <c r="J571" s="183"/>
      <c r="K571"/>
    </row>
    <row r="572" spans="1:11" ht="18.75" customHeight="1">
      <c r="A572" s="102"/>
      <c r="B572" s="102"/>
      <c r="C572" s="116"/>
      <c r="D572" s="168"/>
      <c r="F572" s="53"/>
      <c r="G572" s="10"/>
      <c r="H572" s="54"/>
      <c r="I572" s="55">
        <f>Tableau3[[#This Row],[Stock final]]*Tableau3[[#This Row],[P.U.]]</f>
        <v>0</v>
      </c>
      <c r="J572" s="183"/>
      <c r="K572"/>
    </row>
    <row r="573" spans="1:11" ht="18.75" customHeight="1">
      <c r="A573" s="102"/>
      <c r="B573" s="102"/>
      <c r="C573" s="116"/>
      <c r="D573" s="168"/>
      <c r="F573" s="53"/>
      <c r="G573" s="10"/>
      <c r="H573" s="54"/>
      <c r="I573" s="55">
        <f>Tableau3[[#This Row],[Stock final]]*Tableau3[[#This Row],[P.U.]]</f>
        <v>0</v>
      </c>
      <c r="J573" s="183"/>
      <c r="K573"/>
    </row>
    <row r="574" spans="1:11" ht="18.75" customHeight="1">
      <c r="A574" s="102"/>
      <c r="B574" s="102"/>
      <c r="C574" s="116"/>
      <c r="D574" s="166"/>
      <c r="F574" s="53"/>
      <c r="G574" s="10"/>
      <c r="H574" s="54"/>
      <c r="I574" s="55">
        <f>Tableau3[[#This Row],[Stock final]]*Tableau3[[#This Row],[P.U.]]</f>
        <v>0</v>
      </c>
      <c r="J574" s="183"/>
      <c r="K574"/>
    </row>
    <row r="575" spans="1:11" ht="18.75" customHeight="1">
      <c r="A575" s="102"/>
      <c r="B575" s="102"/>
      <c r="C575" s="116"/>
      <c r="D575" s="166"/>
      <c r="F575" s="53"/>
      <c r="G575" s="10"/>
      <c r="H575" s="54"/>
      <c r="I575" s="55">
        <f>Tableau3[[#This Row],[Stock final]]*Tableau3[[#This Row],[P.U.]]</f>
        <v>0</v>
      </c>
      <c r="J575" s="183"/>
      <c r="K575"/>
    </row>
    <row r="576" spans="1:11" ht="18.75" customHeight="1">
      <c r="A576" s="102"/>
      <c r="B576" s="102"/>
      <c r="C576" s="116"/>
      <c r="D576" s="168"/>
      <c r="F576" s="53"/>
      <c r="G576" s="10"/>
      <c r="H576" s="54"/>
      <c r="I576" s="55">
        <f>Tableau3[[#This Row],[Stock final]]*Tableau3[[#This Row],[P.U.]]</f>
        <v>0</v>
      </c>
      <c r="J576" s="183"/>
      <c r="K576"/>
    </row>
    <row r="577" spans="1:11" ht="19.350000000000001" customHeight="1">
      <c r="A577" s="102"/>
      <c r="B577" s="102"/>
      <c r="C577" s="116"/>
      <c r="D577" s="169"/>
      <c r="F577" s="53"/>
      <c r="G577" s="10"/>
      <c r="H577" s="54"/>
      <c r="I577" s="55">
        <f>Tableau3[[#This Row],[Stock final]]*Tableau3[[#This Row],[P.U.]]</f>
        <v>0</v>
      </c>
      <c r="J577" s="183"/>
      <c r="K577"/>
    </row>
    <row r="578" spans="1:11" ht="18.75" customHeight="1">
      <c r="A578" s="102"/>
      <c r="B578" s="102"/>
      <c r="C578" s="116"/>
      <c r="D578" s="168"/>
      <c r="F578" s="53"/>
      <c r="G578" s="10"/>
      <c r="H578" s="54"/>
      <c r="I578" s="55">
        <f>Tableau3[[#This Row],[Stock final]]*Tableau3[[#This Row],[P.U.]]</f>
        <v>0</v>
      </c>
      <c r="J578" s="183"/>
      <c r="K578"/>
    </row>
    <row r="579" spans="1:11" ht="18.75" customHeight="1">
      <c r="A579" s="102"/>
      <c r="B579" s="102"/>
      <c r="C579" s="116"/>
      <c r="D579" s="168"/>
      <c r="F579" s="53"/>
      <c r="G579" s="10"/>
      <c r="H579" s="54"/>
      <c r="I579" s="55">
        <f>Tableau3[[#This Row],[Stock final]]*Tableau3[[#This Row],[P.U.]]</f>
        <v>0</v>
      </c>
      <c r="J579" s="183"/>
      <c r="K579"/>
    </row>
    <row r="580" spans="1:11" ht="18.75" customHeight="1">
      <c r="A580" s="102"/>
      <c r="B580" s="102"/>
      <c r="C580" s="116"/>
      <c r="D580" s="168"/>
      <c r="F580" s="53"/>
      <c r="G580" s="10"/>
      <c r="H580" s="54"/>
      <c r="I580" s="55">
        <f>Tableau3[[#This Row],[Stock final]]*Tableau3[[#This Row],[P.U.]]</f>
        <v>0</v>
      </c>
      <c r="J580" s="183"/>
      <c r="K580"/>
    </row>
    <row r="581" spans="1:11" ht="18.75" customHeight="1">
      <c r="A581" s="102"/>
      <c r="B581" s="102"/>
      <c r="C581" s="116"/>
      <c r="D581" s="168"/>
      <c r="F581" s="53"/>
      <c r="G581" s="10"/>
      <c r="H581" s="54"/>
      <c r="I581" s="55">
        <f>Tableau3[[#This Row],[Stock final]]*Tableau3[[#This Row],[P.U.]]</f>
        <v>0</v>
      </c>
      <c r="J581" s="183"/>
      <c r="K581"/>
    </row>
    <row r="582" spans="1:11" ht="18.75" customHeight="1">
      <c r="A582" s="102"/>
      <c r="B582" s="102"/>
      <c r="C582" s="116"/>
      <c r="D582" s="168"/>
      <c r="F582" s="53"/>
      <c r="G582" s="10"/>
      <c r="H582" s="54"/>
      <c r="I582" s="55">
        <f>Tableau3[[#This Row],[Stock final]]*Tableau3[[#This Row],[P.U.]]</f>
        <v>0</v>
      </c>
      <c r="J582" s="183"/>
      <c r="K582"/>
    </row>
    <row r="583" spans="1:11" ht="18.75" customHeight="1">
      <c r="A583" s="102"/>
      <c r="B583" s="102"/>
      <c r="C583" s="116"/>
      <c r="D583" s="166"/>
      <c r="F583" s="53"/>
      <c r="G583" s="10"/>
      <c r="H583" s="54"/>
      <c r="I583" s="55">
        <f>Tableau3[[#This Row],[Stock final]]*Tableau3[[#This Row],[P.U.]]</f>
        <v>0</v>
      </c>
      <c r="J583" s="183"/>
      <c r="K583"/>
    </row>
    <row r="584" spans="1:11" ht="18.75" customHeight="1">
      <c r="A584" s="102"/>
      <c r="B584" s="102"/>
      <c r="C584" s="116"/>
      <c r="D584" s="166"/>
      <c r="F584" s="53"/>
      <c r="G584" s="10"/>
      <c r="H584" s="54"/>
      <c r="I584" s="55">
        <f>Tableau3[[#This Row],[Stock final]]*Tableau3[[#This Row],[P.U.]]</f>
        <v>0</v>
      </c>
      <c r="J584" s="183"/>
      <c r="K584"/>
    </row>
    <row r="585" spans="1:11" ht="18.75" customHeight="1">
      <c r="A585" s="102"/>
      <c r="B585" s="102"/>
      <c r="C585" s="116"/>
      <c r="D585" s="166"/>
      <c r="F585" s="53"/>
      <c r="G585" s="10"/>
      <c r="H585" s="54"/>
      <c r="I585" s="55">
        <f>Tableau3[[#This Row],[Stock final]]*Tableau3[[#This Row],[P.U.]]</f>
        <v>0</v>
      </c>
      <c r="J585" s="183"/>
      <c r="K585"/>
    </row>
    <row r="586" spans="1:11" ht="18.75" customHeight="1">
      <c r="A586" s="102"/>
      <c r="B586" s="51"/>
      <c r="C586" s="116"/>
      <c r="D586" s="168"/>
      <c r="F586" s="53"/>
      <c r="G586" s="10"/>
      <c r="H586" s="54"/>
      <c r="I586" s="55">
        <f>Tableau3[[#This Row],[Stock final]]*Tableau3[[#This Row],[P.U.]]</f>
        <v>0</v>
      </c>
      <c r="J586" s="183"/>
      <c r="K586"/>
    </row>
    <row r="587" spans="1:11" ht="23.25" customHeight="1">
      <c r="A587" s="105"/>
      <c r="B587" s="150"/>
      <c r="C587" s="116"/>
      <c r="F587" s="53"/>
      <c r="G587" s="10"/>
      <c r="H587" s="54"/>
      <c r="I587" s="55">
        <f>Tableau3[[#This Row],[Stock final]]*Tableau3[[#This Row],[P.U.]]</f>
        <v>0</v>
      </c>
      <c r="J587" s="183"/>
      <c r="K587"/>
    </row>
    <row r="588" spans="1:11" ht="18.75" customHeight="1">
      <c r="A588" s="109"/>
      <c r="B588" s="109"/>
      <c r="C588" s="116"/>
      <c r="F588" s="53"/>
      <c r="G588" s="10"/>
      <c r="H588" s="54"/>
      <c r="I588" s="55">
        <f>Tableau3[[#This Row],[Stock final]]*Tableau3[[#This Row],[P.U.]]</f>
        <v>0</v>
      </c>
      <c r="J588" s="183"/>
      <c r="K588"/>
    </row>
    <row r="589" spans="1:11" ht="18" customHeight="1">
      <c r="A589" s="102"/>
      <c r="B589" s="57"/>
      <c r="C589" s="116"/>
      <c r="F589" s="53"/>
      <c r="G589" s="10"/>
      <c r="H589" s="54"/>
      <c r="I589" s="55">
        <f>Tableau3[[#This Row],[Stock final]]*Tableau3[[#This Row],[P.U.]]</f>
        <v>0</v>
      </c>
      <c r="J589" s="183"/>
      <c r="K589"/>
    </row>
    <row r="590" spans="1:11" ht="19.350000000000001" customHeight="1">
      <c r="A590" s="102"/>
      <c r="B590" s="57"/>
      <c r="C590" s="116"/>
      <c r="F590" s="53"/>
      <c r="G590" s="10"/>
      <c r="H590" s="54"/>
      <c r="I590" s="55">
        <f>Tableau3[[#This Row],[Stock final]]*Tableau3[[#This Row],[P.U.]]</f>
        <v>0</v>
      </c>
      <c r="J590" s="183"/>
      <c r="K590"/>
    </row>
    <row r="591" spans="1:11" ht="19.350000000000001" customHeight="1">
      <c r="A591" s="102"/>
      <c r="B591" s="57"/>
      <c r="C591" s="116"/>
      <c r="F591" s="53"/>
      <c r="G591" s="10"/>
      <c r="H591" s="54"/>
      <c r="I591" s="55">
        <f>Tableau3[[#This Row],[Stock final]]*Tableau3[[#This Row],[P.U.]]</f>
        <v>0</v>
      </c>
      <c r="J591" s="183"/>
      <c r="K591"/>
    </row>
    <row r="592" spans="1:11" ht="19.350000000000001" customHeight="1">
      <c r="A592" s="102"/>
      <c r="B592" s="57"/>
      <c r="C592" s="116"/>
      <c r="F592" s="53"/>
      <c r="G592" s="10"/>
      <c r="H592" s="54"/>
      <c r="I592" s="55">
        <f>Tableau3[[#This Row],[Stock final]]*Tableau3[[#This Row],[P.U.]]</f>
        <v>0</v>
      </c>
      <c r="J592" s="183"/>
      <c r="K592"/>
    </row>
    <row r="593" spans="1:11" ht="19.350000000000001" customHeight="1">
      <c r="A593" s="102"/>
      <c r="B593" s="57"/>
      <c r="C593" s="116"/>
      <c r="F593" s="53"/>
      <c r="G593" s="10"/>
      <c r="H593" s="54"/>
      <c r="I593" s="55">
        <f>Tableau3[[#This Row],[Stock final]]*Tableau3[[#This Row],[P.U.]]</f>
        <v>0</v>
      </c>
      <c r="J593" s="183"/>
      <c r="K593"/>
    </row>
    <row r="594" spans="1:11" ht="19.350000000000001" customHeight="1">
      <c r="A594" s="102"/>
      <c r="B594" s="57"/>
      <c r="C594" s="116"/>
      <c r="F594" s="53"/>
      <c r="G594" s="10"/>
      <c r="H594" s="54"/>
      <c r="I594" s="55">
        <f>Tableau3[[#This Row],[Stock final]]*Tableau3[[#This Row],[P.U.]]</f>
        <v>0</v>
      </c>
      <c r="J594" s="183"/>
      <c r="K594"/>
    </row>
    <row r="595" spans="1:11" ht="19.350000000000001" customHeight="1">
      <c r="A595" s="102"/>
      <c r="B595" s="89"/>
      <c r="C595" s="116"/>
      <c r="F595" s="53"/>
      <c r="G595" s="10"/>
      <c r="H595" s="54"/>
      <c r="I595" s="55">
        <f>Tableau3[[#This Row],[Stock final]]*Tableau3[[#This Row],[P.U.]]</f>
        <v>0</v>
      </c>
      <c r="J595" s="183"/>
      <c r="K595"/>
    </row>
    <row r="596" spans="1:11" ht="19.350000000000001" customHeight="1">
      <c r="A596" s="102"/>
      <c r="B596" s="57"/>
      <c r="C596" s="116"/>
      <c r="F596" s="53"/>
      <c r="G596" s="10"/>
      <c r="H596" s="54"/>
      <c r="I596" s="55">
        <f>Tableau3[[#This Row],[Stock final]]*Tableau3[[#This Row],[P.U.]]</f>
        <v>0</v>
      </c>
      <c r="J596" s="183"/>
      <c r="K596"/>
    </row>
    <row r="597" spans="1:11" ht="19.350000000000001" customHeight="1">
      <c r="A597" s="102"/>
      <c r="B597" s="102"/>
      <c r="C597" s="116"/>
      <c r="D597" s="169"/>
      <c r="F597" s="53"/>
      <c r="G597" s="10"/>
      <c r="H597" s="54"/>
      <c r="I597" s="55">
        <f>Tableau3[[#This Row],[Stock final]]*Tableau3[[#This Row],[P.U.]]</f>
        <v>0</v>
      </c>
      <c r="J597" s="183"/>
      <c r="K597"/>
    </row>
    <row r="598" spans="1:11" ht="19.350000000000001" customHeight="1">
      <c r="A598" s="109"/>
      <c r="B598" s="149"/>
      <c r="C598" s="116"/>
      <c r="F598" s="53"/>
      <c r="G598" s="10"/>
      <c r="H598" s="54"/>
      <c r="I598" s="55">
        <f>Tableau3[[#This Row],[Stock final]]*Tableau3[[#This Row],[P.U.]]</f>
        <v>0</v>
      </c>
      <c r="J598" s="183"/>
      <c r="K598"/>
    </row>
    <row r="599" spans="1:11" ht="19.350000000000001" customHeight="1">
      <c r="A599" s="105"/>
      <c r="B599" s="92"/>
      <c r="C599" s="116"/>
      <c r="F599" s="53"/>
      <c r="G599" s="10"/>
      <c r="H599" s="54"/>
      <c r="I599" s="55">
        <f>Tableau3[[#This Row],[Stock final]]*Tableau3[[#This Row],[P.U.]]</f>
        <v>0</v>
      </c>
      <c r="J599" s="183"/>
      <c r="K599"/>
    </row>
    <row r="600" spans="1:11" ht="19.350000000000001" customHeight="1">
      <c r="A600" s="102"/>
      <c r="B600" s="51"/>
      <c r="C600" s="116"/>
      <c r="F600" s="53"/>
      <c r="G600" s="10"/>
      <c r="H600" s="54"/>
      <c r="I600" s="55">
        <f>Tableau3[[#This Row],[Stock final]]*Tableau3[[#This Row],[P.U.]]</f>
        <v>0</v>
      </c>
      <c r="J600" s="183"/>
      <c r="K600"/>
    </row>
    <row r="601" spans="1:11" ht="19.350000000000001" customHeight="1">
      <c r="A601" s="102"/>
      <c r="B601" s="51"/>
      <c r="C601" s="116"/>
      <c r="F601" s="53"/>
      <c r="G601" s="10"/>
      <c r="H601" s="54"/>
      <c r="I601" s="55">
        <f>Tableau3[[#This Row],[Stock final]]*Tableau3[[#This Row],[P.U.]]</f>
        <v>0</v>
      </c>
      <c r="J601" s="183"/>
      <c r="K601"/>
    </row>
    <row r="602" spans="1:11" ht="19.350000000000001" customHeight="1">
      <c r="A602" s="102"/>
      <c r="B602" s="51"/>
      <c r="C602" s="116"/>
      <c r="F602" s="53"/>
      <c r="G602" s="10"/>
      <c r="H602" s="54"/>
      <c r="I602" s="55">
        <f>Tableau3[[#This Row],[Stock final]]*Tableau3[[#This Row],[P.U.]]</f>
        <v>0</v>
      </c>
      <c r="J602" s="183"/>
      <c r="K602"/>
    </row>
    <row r="603" spans="1:11" ht="19.350000000000001" customHeight="1">
      <c r="A603" s="102"/>
      <c r="B603" s="51"/>
      <c r="C603" s="116"/>
      <c r="F603" s="53"/>
      <c r="G603" s="10"/>
      <c r="H603" s="54"/>
      <c r="I603" s="55">
        <f>Tableau3[[#This Row],[Stock final]]*Tableau3[[#This Row],[P.U.]]</f>
        <v>0</v>
      </c>
      <c r="J603" s="183"/>
      <c r="K603"/>
    </row>
    <row r="604" spans="1:11" ht="19.350000000000001" customHeight="1">
      <c r="A604" s="102"/>
      <c r="B604" s="51"/>
      <c r="C604" s="116"/>
      <c r="F604" s="53"/>
      <c r="G604" s="10"/>
      <c r="H604" s="54"/>
      <c r="I604" s="55">
        <f>Tableau3[[#This Row],[Stock final]]*Tableau3[[#This Row],[P.U.]]</f>
        <v>0</v>
      </c>
      <c r="J604" s="183"/>
      <c r="K604"/>
    </row>
    <row r="605" spans="1:11" ht="19.350000000000001" customHeight="1">
      <c r="A605" s="102"/>
      <c r="B605" s="89"/>
      <c r="C605" s="116"/>
      <c r="F605" s="53"/>
      <c r="G605" s="10"/>
      <c r="H605" s="54"/>
      <c r="I605" s="55">
        <f>Tableau3[[#This Row],[Stock final]]*Tableau3[[#This Row],[P.U.]]</f>
        <v>0</v>
      </c>
      <c r="J605" s="183"/>
      <c r="K605"/>
    </row>
    <row r="606" spans="1:11" ht="19.350000000000001" customHeight="1">
      <c r="A606" s="102"/>
      <c r="B606" s="91"/>
      <c r="C606" s="116"/>
      <c r="F606" s="93"/>
      <c r="G606" s="10"/>
      <c r="H606" s="54"/>
      <c r="I606" s="55">
        <f>Tableau3[[#This Row],[Stock final]]*Tableau3[[#This Row],[P.U.]]</f>
        <v>0</v>
      </c>
      <c r="J606" s="183"/>
      <c r="K606"/>
    </row>
    <row r="607" spans="1:11" ht="19.350000000000001" customHeight="1">
      <c r="A607" s="102"/>
      <c r="B607" s="91"/>
      <c r="C607" s="116"/>
      <c r="F607" s="93"/>
      <c r="G607" s="10"/>
      <c r="H607" s="54"/>
      <c r="I607" s="55">
        <f>Tableau3[[#This Row],[Stock final]]*Tableau3[[#This Row],[P.U.]]</f>
        <v>0</v>
      </c>
      <c r="J607" s="183"/>
      <c r="K607"/>
    </row>
    <row r="608" spans="1:11" ht="19.350000000000001" customHeight="1">
      <c r="A608" s="102"/>
      <c r="B608" s="102"/>
      <c r="C608" s="116"/>
      <c r="F608" s="93"/>
      <c r="G608" s="10"/>
      <c r="H608" s="54"/>
      <c r="I608" s="55">
        <f>Tableau3[[#This Row],[Stock final]]*Tableau3[[#This Row],[P.U.]]</f>
        <v>0</v>
      </c>
      <c r="J608" s="183"/>
      <c r="K608"/>
    </row>
    <row r="609" spans="1:11" ht="19.350000000000001" customHeight="1">
      <c r="A609" s="102"/>
      <c r="B609" s="102"/>
      <c r="C609" s="116"/>
      <c r="F609" s="93"/>
      <c r="G609" s="10"/>
      <c r="H609" s="54"/>
      <c r="I609" s="55">
        <f>Tableau3[[#This Row],[Stock final]]*Tableau3[[#This Row],[P.U.]]</f>
        <v>0</v>
      </c>
      <c r="J609" s="183"/>
      <c r="K609"/>
    </row>
    <row r="610" spans="1:11" ht="19.350000000000001" customHeight="1">
      <c r="A610" s="102" t="s">
        <v>168</v>
      </c>
      <c r="B610" s="91"/>
      <c r="C610" s="116"/>
      <c r="F610" s="93"/>
      <c r="G610" s="10"/>
      <c r="H610" s="54"/>
      <c r="I610" s="55">
        <f>Tableau3[[#This Row],[Stock final]]*Tableau3[[#This Row],[P.U.]]</f>
        <v>0</v>
      </c>
      <c r="J610" s="183"/>
      <c r="K610"/>
    </row>
    <row r="611" spans="1:11" ht="19.350000000000001" customHeight="1">
      <c r="A611" s="105" t="s">
        <v>168</v>
      </c>
      <c r="B611" s="148"/>
      <c r="C611" s="116"/>
      <c r="D611" s="169"/>
      <c r="F611" s="53"/>
      <c r="G611" s="10"/>
      <c r="H611" s="54"/>
      <c r="I611" s="55">
        <f>Tableau3[[#This Row],[Stock final]]*Tableau3[[#This Row],[P.U.]]</f>
        <v>0</v>
      </c>
      <c r="J611" s="183"/>
      <c r="K611"/>
    </row>
    <row r="612" spans="1:11" ht="19.350000000000001" customHeight="1">
      <c r="A612" s="102" t="s">
        <v>168</v>
      </c>
      <c r="B612" s="91"/>
      <c r="C612" s="116"/>
      <c r="D612" s="169"/>
      <c r="F612" s="53"/>
      <c r="G612" s="10"/>
      <c r="H612" s="54"/>
      <c r="I612" s="55">
        <f>Tableau3[[#This Row],[Stock final]]*Tableau3[[#This Row],[P.U.]]</f>
        <v>0</v>
      </c>
      <c r="J612" s="183"/>
      <c r="K612"/>
    </row>
    <row r="613" spans="1:11" ht="19.350000000000001" customHeight="1">
      <c r="A613" s="102" t="s">
        <v>168</v>
      </c>
      <c r="B613" s="91"/>
      <c r="C613" s="116"/>
      <c r="D613" s="169"/>
      <c r="F613" s="53"/>
      <c r="G613" s="10"/>
      <c r="H613" s="54"/>
      <c r="I613" s="55">
        <f>Tableau3[[#This Row],[Stock final]]*Tableau3[[#This Row],[P.U.]]</f>
        <v>0</v>
      </c>
      <c r="J613" s="183"/>
      <c r="K613"/>
    </row>
    <row r="614" spans="1:11" ht="19.350000000000001" customHeight="1">
      <c r="A614" s="102" t="s">
        <v>168</v>
      </c>
      <c r="B614" s="91"/>
      <c r="C614" s="116"/>
      <c r="D614" s="169"/>
      <c r="F614" s="53"/>
      <c r="G614" s="10"/>
      <c r="H614" s="54"/>
      <c r="I614" s="55">
        <f>Tableau3[[#This Row],[Stock final]]*Tableau3[[#This Row],[P.U.]]</f>
        <v>0</v>
      </c>
      <c r="J614" s="183"/>
      <c r="K614"/>
    </row>
    <row r="615" spans="1:11" ht="19.350000000000001" customHeight="1">
      <c r="A615" s="102" t="s">
        <v>168</v>
      </c>
      <c r="B615" s="102"/>
      <c r="C615" s="116"/>
      <c r="D615" s="169"/>
      <c r="F615" s="53"/>
      <c r="G615" s="10"/>
      <c r="H615" s="54"/>
      <c r="I615" s="55">
        <f>Tableau3[[#This Row],[Stock final]]*Tableau3[[#This Row],[P.U.]]</f>
        <v>0</v>
      </c>
      <c r="J615" s="183"/>
      <c r="K615"/>
    </row>
    <row r="616" spans="1:11" ht="19.350000000000001" customHeight="1">
      <c r="A616" s="102" t="s">
        <v>168</v>
      </c>
      <c r="B616" s="102"/>
      <c r="C616" s="116"/>
      <c r="D616" s="169"/>
      <c r="F616" s="53"/>
      <c r="G616" s="10"/>
      <c r="H616" s="54"/>
      <c r="I616" s="55">
        <f>Tableau3[[#This Row],[Stock final]]*Tableau3[[#This Row],[P.U.]]</f>
        <v>0</v>
      </c>
      <c r="J616" s="183"/>
      <c r="K616"/>
    </row>
    <row r="617" spans="1:11" ht="19.350000000000001" customHeight="1">
      <c r="A617" s="102" t="s">
        <v>168</v>
      </c>
      <c r="B617" s="91"/>
      <c r="C617" s="116"/>
      <c r="D617" s="169"/>
      <c r="F617" s="53"/>
      <c r="G617" s="10"/>
      <c r="H617" s="54"/>
      <c r="I617" s="55">
        <f>Tableau3[[#This Row],[Stock final]]*Tableau3[[#This Row],[P.U.]]</f>
        <v>0</v>
      </c>
      <c r="J617" s="183"/>
      <c r="K617"/>
    </row>
    <row r="618" spans="1:11" ht="19.350000000000001" customHeight="1">
      <c r="A618" s="102" t="s">
        <v>168</v>
      </c>
      <c r="B618" s="91"/>
      <c r="C618" s="116"/>
      <c r="D618" s="169"/>
      <c r="F618" s="53"/>
      <c r="G618" s="10"/>
      <c r="H618" s="54"/>
      <c r="I618" s="55">
        <f>Tableau3[[#This Row],[Stock final]]*Tableau3[[#This Row],[P.U.]]</f>
        <v>0</v>
      </c>
      <c r="J618" s="183"/>
      <c r="K618"/>
    </row>
    <row r="619" spans="1:11" ht="19.350000000000001" customHeight="1">
      <c r="A619" s="102" t="s">
        <v>168</v>
      </c>
      <c r="B619" s="91"/>
      <c r="C619" s="116"/>
      <c r="D619" s="169"/>
      <c r="F619" s="53"/>
      <c r="G619" s="10"/>
      <c r="H619" s="54"/>
      <c r="I619" s="55">
        <f>Tableau3[[#This Row],[Stock final]]*Tableau3[[#This Row],[P.U.]]</f>
        <v>0</v>
      </c>
      <c r="J619" s="183"/>
      <c r="K619"/>
    </row>
    <row r="620" spans="1:11" ht="19.350000000000001" customHeight="1">
      <c r="A620" s="102" t="s">
        <v>168</v>
      </c>
      <c r="B620" s="91"/>
      <c r="C620" s="116"/>
      <c r="D620" s="169"/>
      <c r="F620" s="53"/>
      <c r="G620" s="10"/>
      <c r="H620" s="54"/>
      <c r="I620" s="55">
        <f>Tableau3[[#This Row],[Stock final]]*Tableau3[[#This Row],[P.U.]]</f>
        <v>0</v>
      </c>
      <c r="J620" s="183"/>
      <c r="K620"/>
    </row>
    <row r="621" spans="1:11" ht="19.350000000000001" customHeight="1">
      <c r="A621" s="105" t="s">
        <v>168</v>
      </c>
      <c r="B621" s="105"/>
      <c r="C621" s="116"/>
      <c r="D621" s="169"/>
      <c r="F621" s="53"/>
      <c r="G621" s="10"/>
      <c r="H621" s="54"/>
      <c r="I621" s="55">
        <f>Tableau3[[#This Row],[Stock final]]*Tableau3[[#This Row],[P.U.]]</f>
        <v>0</v>
      </c>
      <c r="J621" s="183"/>
      <c r="K621"/>
    </row>
    <row r="622" spans="1:11" ht="18.75" customHeight="1">
      <c r="A622" s="109" t="s">
        <v>168</v>
      </c>
      <c r="B622" s="109"/>
      <c r="C622" s="116"/>
      <c r="D622" s="169"/>
      <c r="F622" s="53"/>
      <c r="G622" s="10"/>
      <c r="H622" s="54"/>
      <c r="I622" s="55">
        <f>Tableau3[[#This Row],[Stock final]]*Tableau3[[#This Row],[P.U.]]</f>
        <v>0</v>
      </c>
      <c r="J622" s="183"/>
      <c r="K622"/>
    </row>
    <row r="623" spans="1:11" ht="19.350000000000001" customHeight="1">
      <c r="A623" s="105" t="s">
        <v>168</v>
      </c>
      <c r="B623" s="105"/>
      <c r="C623" s="116"/>
      <c r="D623" s="169"/>
      <c r="F623" s="53"/>
      <c r="G623" s="10"/>
      <c r="H623" s="54"/>
      <c r="I623" s="55">
        <f>Tableau3[[#This Row],[Stock final]]*Tableau3[[#This Row],[P.U.]]</f>
        <v>0</v>
      </c>
      <c r="J623" s="183"/>
      <c r="K623"/>
    </row>
    <row r="624" spans="1:11" ht="19.350000000000001" customHeight="1">
      <c r="A624" s="109" t="s">
        <v>168</v>
      </c>
      <c r="B624" s="109"/>
      <c r="C624" s="116"/>
      <c r="D624" s="169"/>
      <c r="F624" s="53"/>
      <c r="G624" s="10"/>
      <c r="H624" s="54"/>
      <c r="I624" s="55">
        <f>Tableau3[[#This Row],[Stock final]]*Tableau3[[#This Row],[P.U.]]</f>
        <v>0</v>
      </c>
      <c r="J624" s="183"/>
      <c r="K624"/>
    </row>
    <row r="625" spans="1:11" ht="19.350000000000001" customHeight="1">
      <c r="A625" s="102" t="s">
        <v>168</v>
      </c>
      <c r="B625" s="92"/>
      <c r="C625" s="116"/>
      <c r="D625" s="169"/>
      <c r="F625" s="53"/>
      <c r="G625" s="10"/>
      <c r="H625" s="54"/>
      <c r="I625" s="55">
        <f>Tableau3[[#This Row],[Stock final]]*Tableau3[[#This Row],[P.U.]]</f>
        <v>0</v>
      </c>
      <c r="J625" s="183"/>
      <c r="K625"/>
    </row>
    <row r="626" spans="1:11" ht="19.350000000000001" customHeight="1">
      <c r="A626" s="109" t="s">
        <v>168</v>
      </c>
      <c r="B626" s="149"/>
      <c r="C626" s="116"/>
      <c r="D626" s="167"/>
      <c r="F626" s="53"/>
      <c r="G626" s="10"/>
      <c r="H626" s="54"/>
      <c r="I626" s="55">
        <f>Tableau3[[#This Row],[Stock final]]*Tableau3[[#This Row],[P.U.]]</f>
        <v>0</v>
      </c>
      <c r="J626" s="183"/>
      <c r="K626"/>
    </row>
    <row r="627" spans="1:11" ht="19.350000000000001" customHeight="1">
      <c r="A627" s="102" t="s">
        <v>168</v>
      </c>
      <c r="B627" s="51"/>
      <c r="C627" s="116"/>
      <c r="F627" s="53"/>
      <c r="G627" s="10"/>
      <c r="H627" s="54"/>
      <c r="I627" s="55">
        <f>Tableau3[[#This Row],[Stock final]]*Tableau3[[#This Row],[P.U.]]</f>
        <v>0</v>
      </c>
      <c r="J627" s="183"/>
      <c r="K627"/>
    </row>
    <row r="628" spans="1:11" ht="19.350000000000001" customHeight="1">
      <c r="A628" s="102" t="s">
        <v>168</v>
      </c>
      <c r="B628" s="51"/>
      <c r="C628" s="116"/>
      <c r="F628" s="53"/>
      <c r="G628" s="10"/>
      <c r="H628" s="54"/>
      <c r="I628" s="55">
        <f>Tableau3[[#This Row],[Stock final]]*Tableau3[[#This Row],[P.U.]]</f>
        <v>0</v>
      </c>
      <c r="J628" s="183"/>
      <c r="K628"/>
    </row>
    <row r="629" spans="1:11" ht="19.350000000000001" customHeight="1">
      <c r="A629" s="102" t="s">
        <v>168</v>
      </c>
      <c r="B629" s="51"/>
      <c r="C629" s="116"/>
      <c r="F629" s="53"/>
      <c r="G629" s="10"/>
      <c r="H629" s="54"/>
      <c r="I629" s="55">
        <f>Tableau3[[#This Row],[Stock final]]*Tableau3[[#This Row],[P.U.]]</f>
        <v>0</v>
      </c>
      <c r="J629" s="183"/>
      <c r="K629"/>
    </row>
    <row r="630" spans="1:11" ht="19.350000000000001" customHeight="1">
      <c r="A630" s="102" t="s">
        <v>168</v>
      </c>
      <c r="B630" s="51"/>
      <c r="C630" s="116"/>
      <c r="F630" s="53"/>
      <c r="G630" s="10"/>
      <c r="H630" s="54"/>
      <c r="I630" s="55">
        <f>Tableau3[[#This Row],[Stock final]]*Tableau3[[#This Row],[P.U.]]</f>
        <v>0</v>
      </c>
      <c r="J630" s="183"/>
      <c r="K630"/>
    </row>
    <row r="631" spans="1:11" ht="19.350000000000001" customHeight="1">
      <c r="A631" s="102" t="s">
        <v>168</v>
      </c>
      <c r="B631" s="102"/>
      <c r="C631" s="116"/>
      <c r="F631" s="53"/>
      <c r="G631" s="10"/>
      <c r="H631" s="54"/>
      <c r="I631" s="55">
        <f>Tableau3[[#This Row],[Stock final]]*Tableau3[[#This Row],[P.U.]]</f>
        <v>0</v>
      </c>
      <c r="J631" s="183"/>
      <c r="K631"/>
    </row>
    <row r="632" spans="1:11" ht="19.350000000000001" customHeight="1">
      <c r="A632" s="102" t="s">
        <v>168</v>
      </c>
      <c r="B632" s="57"/>
      <c r="C632" s="121"/>
      <c r="F632" s="53"/>
      <c r="G632" s="10"/>
      <c r="H632" s="54"/>
      <c r="I632" s="55">
        <f>Tableau3[[#This Row],[Stock final]]*Tableau3[[#This Row],[P.U.]]</f>
        <v>0</v>
      </c>
      <c r="J632" s="183"/>
      <c r="K632"/>
    </row>
    <row r="633" spans="1:11" ht="19.350000000000001" customHeight="1">
      <c r="A633" s="102" t="s">
        <v>168</v>
      </c>
      <c r="B633" s="51"/>
      <c r="C633" s="116"/>
      <c r="D633" s="121"/>
      <c r="F633" s="53"/>
      <c r="G633" s="10"/>
      <c r="H633" s="54"/>
      <c r="I633" s="55">
        <f>Tableau3[[#This Row],[Stock final]]*Tableau3[[#This Row],[P.U.]]</f>
        <v>0</v>
      </c>
      <c r="J633" s="183"/>
      <c r="K633"/>
    </row>
    <row r="634" spans="1:11" ht="19.350000000000001" customHeight="1">
      <c r="A634" s="102" t="s">
        <v>168</v>
      </c>
      <c r="B634" s="57"/>
      <c r="C634" s="121"/>
      <c r="D634" s="121"/>
      <c r="F634" s="53"/>
      <c r="G634" s="10"/>
      <c r="H634" s="54"/>
      <c r="I634" s="55">
        <f>Tableau3[[#This Row],[Stock final]]*Tableau3[[#This Row],[P.U.]]</f>
        <v>0</v>
      </c>
      <c r="J634" s="183"/>
      <c r="K634"/>
    </row>
    <row r="635" spans="1:11" ht="19.350000000000001" customHeight="1">
      <c r="A635" s="102" t="s">
        <v>168</v>
      </c>
      <c r="B635" s="57"/>
      <c r="C635" s="121"/>
      <c r="D635" s="121"/>
      <c r="F635" s="53"/>
      <c r="G635" s="10"/>
      <c r="H635" s="54"/>
      <c r="I635" s="55">
        <f>Tableau3[[#This Row],[Stock final]]*Tableau3[[#This Row],[P.U.]]</f>
        <v>0</v>
      </c>
      <c r="J635" s="183"/>
      <c r="K635"/>
    </row>
    <row r="636" spans="1:11" ht="19.350000000000001" customHeight="1">
      <c r="A636" s="102"/>
      <c r="B636" s="57"/>
      <c r="C636" s="121"/>
      <c r="D636" s="121"/>
      <c r="F636" s="53"/>
      <c r="G636" s="10"/>
      <c r="H636" s="54"/>
      <c r="I636" s="55">
        <f>Tableau3[[#This Row],[Stock final]]*Tableau3[[#This Row],[P.U.]]</f>
        <v>0</v>
      </c>
      <c r="J636" s="183"/>
      <c r="K636"/>
    </row>
    <row r="637" spans="1:11" ht="19.350000000000001" customHeight="1">
      <c r="A637" s="102"/>
      <c r="B637" s="57"/>
      <c r="C637" s="121"/>
      <c r="D637" s="121"/>
      <c r="F637" s="53"/>
      <c r="G637" s="10"/>
      <c r="H637" s="54"/>
      <c r="I637" s="55">
        <f>Tableau3[[#This Row],[Stock final]]*Tableau3[[#This Row],[P.U.]]</f>
        <v>0</v>
      </c>
      <c r="J637" s="183"/>
      <c r="K637"/>
    </row>
    <row r="638" spans="1:11" ht="19.350000000000001" customHeight="1">
      <c r="A638" s="102"/>
      <c r="B638" s="102"/>
      <c r="C638" s="106"/>
      <c r="D638" s="121"/>
      <c r="F638" s="53"/>
      <c r="G638" s="10"/>
      <c r="H638" s="54"/>
      <c r="I638" s="55">
        <f>Tableau3[[#This Row],[Stock final]]*Tableau3[[#This Row],[P.U.]]</f>
        <v>0</v>
      </c>
      <c r="J638" s="183"/>
      <c r="K638"/>
    </row>
    <row r="639" spans="1:11" ht="19.350000000000001" customHeight="1">
      <c r="A639" s="102"/>
      <c r="B639" s="102"/>
      <c r="C639" s="106"/>
      <c r="D639" s="121"/>
      <c r="F639" s="53"/>
      <c r="G639" s="10"/>
      <c r="H639" s="54"/>
      <c r="I639" s="55">
        <f>Tableau3[[#This Row],[Stock final]]*Tableau3[[#This Row],[P.U.]]</f>
        <v>0</v>
      </c>
      <c r="J639" s="183"/>
      <c r="K639"/>
    </row>
    <row r="640" spans="1:11" ht="19.350000000000001" customHeight="1">
      <c r="A640" s="102"/>
      <c r="B640" s="102"/>
      <c r="C640" s="106"/>
      <c r="D640" s="106"/>
      <c r="F640" s="53"/>
      <c r="G640" s="10"/>
      <c r="H640" s="54"/>
      <c r="I640" s="55">
        <f>Tableau3[[#This Row],[Stock final]]*Tableau3[[#This Row],[P.U.]]</f>
        <v>0</v>
      </c>
      <c r="J640" s="183"/>
      <c r="K640"/>
    </row>
    <row r="641" spans="1:11" ht="19.350000000000001" customHeight="1">
      <c r="A641" s="102"/>
      <c r="B641" s="102"/>
      <c r="C641" s="106"/>
      <c r="D641" s="106"/>
      <c r="F641" s="53"/>
      <c r="G641" s="10"/>
      <c r="H641" s="54"/>
      <c r="I641" s="55">
        <f>Tableau3[[#This Row],[Stock final]]*Tableau3[[#This Row],[P.U.]]</f>
        <v>0</v>
      </c>
      <c r="J641" s="183"/>
      <c r="K641"/>
    </row>
    <row r="642" spans="1:11" ht="19.350000000000001" customHeight="1">
      <c r="A642" s="102"/>
      <c r="B642" s="102"/>
      <c r="C642" s="106"/>
      <c r="D642" s="106"/>
      <c r="F642" s="53"/>
      <c r="G642" s="10"/>
      <c r="H642" s="54"/>
      <c r="I642" s="55">
        <f>Tableau3[[#This Row],[Stock final]]*Tableau3[[#This Row],[P.U.]]</f>
        <v>0</v>
      </c>
      <c r="J642" s="183"/>
      <c r="K642"/>
    </row>
    <row r="643" spans="1:11" ht="19.350000000000001" customHeight="1">
      <c r="A643" s="102"/>
      <c r="B643" s="102"/>
      <c r="C643" s="106"/>
      <c r="D643" s="106"/>
      <c r="F643" s="53"/>
      <c r="G643" s="10"/>
      <c r="H643" s="54"/>
      <c r="I643" s="55">
        <f>Tableau3[[#This Row],[Stock final]]*Tableau3[[#This Row],[P.U.]]</f>
        <v>0</v>
      </c>
      <c r="J643" s="183"/>
      <c r="K643"/>
    </row>
    <row r="644" spans="1:11" ht="19.350000000000001" customHeight="1">
      <c r="A644" s="102"/>
      <c r="B644" s="102"/>
      <c r="C644" s="106"/>
      <c r="D644" s="170"/>
      <c r="F644" s="53"/>
      <c r="G644" s="10"/>
      <c r="H644" s="54"/>
      <c r="I644" s="55">
        <f>Tableau3[[#This Row],[Stock final]]*Tableau3[[#This Row],[P.U.]]</f>
        <v>0</v>
      </c>
      <c r="J644" s="183"/>
      <c r="K644"/>
    </row>
    <row r="645" spans="1:11" ht="19.350000000000001" customHeight="1">
      <c r="A645" s="105"/>
      <c r="B645" s="105"/>
      <c r="C645" s="106"/>
      <c r="D645" s="106"/>
      <c r="F645" s="53"/>
      <c r="G645" s="10"/>
      <c r="H645" s="54"/>
      <c r="I645" s="55">
        <f>Tableau3[[#This Row],[Stock final]]*Tableau3[[#This Row],[P.U.]]</f>
        <v>0</v>
      </c>
      <c r="J645" s="183"/>
      <c r="K645"/>
    </row>
    <row r="646" spans="1:11" ht="19.350000000000001" customHeight="1">
      <c r="A646" s="102"/>
      <c r="B646" s="102"/>
      <c r="C646" s="106"/>
      <c r="F646" s="53"/>
      <c r="G646" s="10"/>
      <c r="H646" s="54"/>
      <c r="I646" s="55">
        <f>Tableau3[[#This Row],[Stock final]]*Tableau3[[#This Row],[P.U.]]</f>
        <v>0</v>
      </c>
      <c r="J646" s="183"/>
      <c r="K646"/>
    </row>
    <row r="647" spans="1:11" ht="19.350000000000001" customHeight="1">
      <c r="A647" s="102"/>
      <c r="B647" s="102"/>
      <c r="C647" s="106"/>
      <c r="D647" s="106"/>
      <c r="F647" s="53"/>
      <c r="G647" s="10"/>
      <c r="H647" s="54"/>
      <c r="I647" s="55">
        <f>Tableau3[[#This Row],[Stock final]]*Tableau3[[#This Row],[P.U.]]</f>
        <v>0</v>
      </c>
      <c r="J647" s="183"/>
      <c r="K647"/>
    </row>
    <row r="648" spans="1:11" ht="19.350000000000001" customHeight="1">
      <c r="A648" s="102"/>
      <c r="B648" s="57"/>
      <c r="C648" s="121"/>
      <c r="D648" s="121"/>
      <c r="F648" s="53"/>
      <c r="G648" s="10"/>
      <c r="H648" s="54"/>
      <c r="I648" s="55">
        <f>Tableau3[[#This Row],[Stock final]]*Tableau3[[#This Row],[P.U.]]</f>
        <v>0</v>
      </c>
      <c r="J648" s="183"/>
      <c r="K648"/>
    </row>
    <row r="649" spans="1:11" ht="19.350000000000001" customHeight="1">
      <c r="A649" s="105"/>
      <c r="B649" s="92"/>
      <c r="D649" s="169"/>
      <c r="F649" s="53"/>
      <c r="G649" s="10"/>
      <c r="H649" s="54"/>
      <c r="I649" s="55">
        <f>Tableau3[[#This Row],[Stock final]]*Tableau3[[#This Row],[P.U.]]</f>
        <v>0</v>
      </c>
      <c r="J649" s="183"/>
      <c r="K649"/>
    </row>
    <row r="650" spans="1:11" ht="19.350000000000001" customHeight="1">
      <c r="A650" s="109"/>
      <c r="B650" s="109"/>
      <c r="D650" s="169"/>
      <c r="F650" s="53"/>
      <c r="G650" s="10"/>
      <c r="H650" s="54"/>
      <c r="I650" s="55">
        <f>Tableau3[[#This Row],[Stock final]]*Tableau3[[#This Row],[P.U.]]</f>
        <v>0</v>
      </c>
      <c r="J650" s="183"/>
      <c r="K650"/>
    </row>
    <row r="651" spans="1:11" ht="19.350000000000001" customHeight="1">
      <c r="A651" s="102"/>
      <c r="B651" s="51"/>
      <c r="C651" s="121"/>
      <c r="D651" s="121"/>
      <c r="F651" s="53"/>
      <c r="G651" s="10"/>
      <c r="H651" s="54"/>
      <c r="I651" s="55">
        <f>Tableau3[[#This Row],[Stock final]]*Tableau3[[#This Row],[P.U.]]</f>
        <v>0</v>
      </c>
      <c r="J651" s="183"/>
      <c r="K651"/>
    </row>
    <row r="652" spans="1:11" ht="19.350000000000001" customHeight="1">
      <c r="A652" s="102"/>
      <c r="B652" s="102"/>
      <c r="C652" s="121"/>
      <c r="D652" s="121"/>
      <c r="F652" s="53"/>
      <c r="G652" s="10"/>
      <c r="H652" s="54"/>
      <c r="I652" s="55">
        <f>Tableau3[[#This Row],[Stock final]]*Tableau3[[#This Row],[P.U.]]</f>
        <v>0</v>
      </c>
      <c r="J652" s="183"/>
      <c r="K652"/>
    </row>
    <row r="653" spans="1:11" ht="19.350000000000001" customHeight="1">
      <c r="A653" s="102"/>
      <c r="B653" s="102"/>
      <c r="C653" s="121"/>
      <c r="D653" s="121"/>
      <c r="F653" s="53"/>
      <c r="G653" s="10"/>
      <c r="H653" s="54"/>
      <c r="I653" s="55">
        <f>Tableau3[[#This Row],[Stock final]]*Tableau3[[#This Row],[P.U.]]</f>
        <v>0</v>
      </c>
      <c r="J653" s="183"/>
      <c r="K653"/>
    </row>
    <row r="654" spans="1:11" ht="19.350000000000001" customHeight="1">
      <c r="A654" s="102"/>
      <c r="B654" s="51"/>
      <c r="C654" s="121"/>
      <c r="D654" s="121"/>
      <c r="F654" s="53"/>
      <c r="G654" s="10"/>
      <c r="H654" s="54"/>
      <c r="I654" s="55">
        <f>Tableau3[[#This Row],[Stock final]]*Tableau3[[#This Row],[P.U.]]</f>
        <v>0</v>
      </c>
      <c r="J654" s="183"/>
      <c r="K654"/>
    </row>
    <row r="655" spans="1:11" ht="19.350000000000001" customHeight="1">
      <c r="A655" s="105"/>
      <c r="B655" s="92"/>
      <c r="C655" s="122"/>
      <c r="F655" s="53"/>
      <c r="G655" s="10"/>
      <c r="H655" s="54"/>
      <c r="I655" s="55">
        <f>Tableau3[[#This Row],[Stock final]]*Tableau3[[#This Row],[P.U.]]</f>
        <v>0</v>
      </c>
      <c r="J655" s="183"/>
      <c r="K655"/>
    </row>
    <row r="656" spans="1:11" ht="19.350000000000001" customHeight="1">
      <c r="A656" s="102"/>
      <c r="B656" s="51"/>
      <c r="C656" s="122"/>
      <c r="F656" s="53"/>
      <c r="G656" s="10"/>
      <c r="H656" s="54"/>
      <c r="I656" s="55">
        <f>Tableau3[[#This Row],[Stock final]]*Tableau3[[#This Row],[P.U.]]</f>
        <v>0</v>
      </c>
      <c r="J656" s="183"/>
      <c r="K656"/>
    </row>
    <row r="657" spans="1:11" ht="19.350000000000001" customHeight="1">
      <c r="A657" s="102"/>
      <c r="B657" s="51"/>
      <c r="C657" s="116"/>
      <c r="F657" s="53"/>
      <c r="G657" s="10"/>
      <c r="H657" s="54"/>
      <c r="I657" s="55">
        <f>Tableau3[[#This Row],[Stock final]]*Tableau3[[#This Row],[P.U.]]</f>
        <v>0</v>
      </c>
      <c r="J657" s="183"/>
      <c r="K657"/>
    </row>
    <row r="658" spans="1:11" ht="19.350000000000001" customHeight="1">
      <c r="A658" s="102"/>
      <c r="B658" s="51"/>
      <c r="C658" s="122"/>
      <c r="F658" s="53"/>
      <c r="G658" s="10"/>
      <c r="H658" s="54"/>
      <c r="I658" s="55">
        <f>Tableau3[[#This Row],[Stock final]]*Tableau3[[#This Row],[P.U.]]</f>
        <v>0</v>
      </c>
      <c r="J658" s="183"/>
      <c r="K658"/>
    </row>
    <row r="659" spans="1:11" ht="19.350000000000001" customHeight="1">
      <c r="A659" s="102"/>
      <c r="B659" s="51"/>
      <c r="C659" s="116"/>
      <c r="F659" s="53"/>
      <c r="G659" s="10"/>
      <c r="H659" s="54"/>
      <c r="I659" s="55">
        <f>Tableau3[[#This Row],[Stock final]]*Tableau3[[#This Row],[P.U.]]</f>
        <v>0</v>
      </c>
      <c r="J659" s="183"/>
      <c r="K659"/>
    </row>
    <row r="660" spans="1:11" ht="19.350000000000001" customHeight="1">
      <c r="A660" s="102"/>
      <c r="B660" s="51"/>
      <c r="C660" s="116"/>
      <c r="F660" s="53"/>
      <c r="G660" s="10"/>
      <c r="H660" s="54"/>
      <c r="I660" s="55">
        <f>Tableau3[[#This Row],[Stock final]]*Tableau3[[#This Row],[P.U.]]</f>
        <v>0</v>
      </c>
      <c r="J660" s="183"/>
      <c r="K660"/>
    </row>
    <row r="661" spans="1:11" ht="19.350000000000001" customHeight="1">
      <c r="A661" s="102" t="s">
        <v>13</v>
      </c>
      <c r="B661" s="102" t="s">
        <v>16</v>
      </c>
      <c r="C661" s="116" t="s">
        <v>169</v>
      </c>
      <c r="D661" s="11" t="s">
        <v>170</v>
      </c>
      <c r="F661" s="53"/>
      <c r="G661" s="10"/>
      <c r="H661" s="54">
        <v>16.64</v>
      </c>
      <c r="I661" s="55">
        <f>Tableau3[[#This Row],[Stock final]]*Tableau3[[#This Row],[P.U.]]</f>
        <v>0</v>
      </c>
      <c r="J661" s="183"/>
      <c r="K661"/>
    </row>
    <row r="662" spans="1:11" ht="19.350000000000001" customHeight="1">
      <c r="A662" s="109" t="s">
        <v>13</v>
      </c>
      <c r="B662" s="109" t="s">
        <v>16</v>
      </c>
      <c r="C662" s="116" t="s">
        <v>171</v>
      </c>
      <c r="D662" s="11" t="s">
        <v>172</v>
      </c>
      <c r="F662" s="53"/>
      <c r="G662" s="10"/>
      <c r="H662" s="54">
        <v>20.170000000000002</v>
      </c>
      <c r="I662" s="55">
        <f>Tableau3[[#This Row],[Stock final]]*Tableau3[[#This Row],[P.U.]]</f>
        <v>0</v>
      </c>
      <c r="J662" s="183"/>
      <c r="K662"/>
    </row>
    <row r="663" spans="1:11" ht="19.350000000000001" customHeight="1">
      <c r="A663" s="105" t="s">
        <v>13</v>
      </c>
      <c r="B663" s="105" t="s">
        <v>16</v>
      </c>
      <c r="C663" s="116" t="s">
        <v>173</v>
      </c>
      <c r="D663" s="11" t="s">
        <v>174</v>
      </c>
      <c r="F663" s="53"/>
      <c r="G663" s="10"/>
      <c r="H663" s="54">
        <v>21.91</v>
      </c>
      <c r="I663" s="55">
        <f>Tableau3[[#This Row],[Stock final]]*Tableau3[[#This Row],[P.U.]]</f>
        <v>0</v>
      </c>
      <c r="J663" s="183"/>
      <c r="K663"/>
    </row>
    <row r="664" spans="1:11" ht="19.350000000000001" customHeight="1">
      <c r="A664" s="109" t="s">
        <v>13</v>
      </c>
      <c r="B664" s="109" t="s">
        <v>16</v>
      </c>
      <c r="C664" s="116" t="s">
        <v>175</v>
      </c>
      <c r="D664" s="11" t="s">
        <v>177</v>
      </c>
      <c r="F664" s="53"/>
      <c r="G664" s="10">
        <v>13</v>
      </c>
      <c r="H664" s="54">
        <v>95.49</v>
      </c>
      <c r="I664" s="55">
        <f>Tableau3[[#This Row],[Stock final]]*Tableau3[[#This Row],[P.U.]]</f>
        <v>1241.3699999999999</v>
      </c>
      <c r="J664" s="183"/>
      <c r="K664"/>
    </row>
    <row r="665" spans="1:11" ht="19.350000000000001" customHeight="1">
      <c r="A665" s="102" t="s">
        <v>13</v>
      </c>
      <c r="B665" s="102" t="s">
        <v>16</v>
      </c>
      <c r="C665" s="116" t="s">
        <v>179</v>
      </c>
      <c r="D665" s="11" t="s">
        <v>180</v>
      </c>
      <c r="F665" s="53"/>
      <c r="G665" s="10">
        <v>1</v>
      </c>
      <c r="H665" s="103">
        <v>116.72</v>
      </c>
      <c r="I665" s="55">
        <f>Tableau3[[#This Row],[Stock final]]*Tableau3[[#This Row],[P.U.]]</f>
        <v>116.72</v>
      </c>
      <c r="J665" s="183"/>
      <c r="K665"/>
    </row>
    <row r="666" spans="1:11" ht="19.350000000000001" customHeight="1">
      <c r="A666" s="102" t="s">
        <v>13</v>
      </c>
      <c r="B666" s="102" t="s">
        <v>16</v>
      </c>
      <c r="C666" s="116" t="s">
        <v>176</v>
      </c>
      <c r="D666" s="11" t="s">
        <v>178</v>
      </c>
      <c r="F666" s="53"/>
      <c r="G666" s="10">
        <v>1</v>
      </c>
      <c r="H666" s="54">
        <v>113.26</v>
      </c>
      <c r="I666" s="55">
        <f>Tableau3[[#This Row],[Stock final]]*Tableau3[[#This Row],[P.U.]]</f>
        <v>113.26</v>
      </c>
      <c r="J666" s="183"/>
      <c r="K666"/>
    </row>
    <row r="667" spans="1:11" ht="19.350000000000001" customHeight="1">
      <c r="A667" s="102" t="s">
        <v>13</v>
      </c>
      <c r="B667" s="102" t="s">
        <v>16</v>
      </c>
      <c r="C667" s="116" t="s">
        <v>181</v>
      </c>
      <c r="D667" s="11" t="s">
        <v>182</v>
      </c>
      <c r="F667" s="53"/>
      <c r="G667" s="10">
        <v>1</v>
      </c>
      <c r="H667" s="54">
        <v>247.42</v>
      </c>
      <c r="I667" s="55">
        <f>Tableau3[[#This Row],[Stock final]]*Tableau3[[#This Row],[P.U.]]</f>
        <v>247.42</v>
      </c>
      <c r="J667" s="183"/>
      <c r="K667"/>
    </row>
    <row r="668" spans="1:11" ht="19.350000000000001" customHeight="1">
      <c r="A668" s="102" t="s">
        <v>13</v>
      </c>
      <c r="B668" s="102" t="s">
        <v>16</v>
      </c>
      <c r="C668" s="116" t="s">
        <v>18</v>
      </c>
      <c r="D668" s="11" t="s">
        <v>184</v>
      </c>
      <c r="F668" s="53"/>
      <c r="G668" s="10">
        <v>29</v>
      </c>
      <c r="H668" s="54">
        <v>13.13</v>
      </c>
      <c r="I668" s="55">
        <f>Tableau3[[#This Row],[Stock final]]*Tableau3[[#This Row],[P.U.]]</f>
        <v>380.77000000000004</v>
      </c>
      <c r="J668" s="183"/>
      <c r="K668"/>
    </row>
    <row r="669" spans="1:11" ht="19.350000000000001" customHeight="1">
      <c r="A669" s="102" t="s">
        <v>13</v>
      </c>
      <c r="B669" s="102" t="s">
        <v>16</v>
      </c>
      <c r="C669" s="116" t="s">
        <v>183</v>
      </c>
      <c r="D669" s="11" t="s">
        <v>185</v>
      </c>
      <c r="F669" s="53"/>
      <c r="G669" s="10"/>
      <c r="H669" s="54">
        <v>16.86</v>
      </c>
      <c r="I669" s="55">
        <f>Tableau3[[#This Row],[Stock final]]*Tableau3[[#This Row],[P.U.]]</f>
        <v>0</v>
      </c>
      <c r="J669" s="183"/>
      <c r="K669"/>
    </row>
    <row r="670" spans="1:11" ht="19.350000000000001" customHeight="1">
      <c r="A670" s="102" t="s">
        <v>13</v>
      </c>
      <c r="B670" s="102" t="s">
        <v>16</v>
      </c>
      <c r="C670" s="116" t="s">
        <v>186</v>
      </c>
      <c r="D670" s="11" t="s">
        <v>187</v>
      </c>
      <c r="F670" s="53"/>
      <c r="G670" s="10">
        <v>12</v>
      </c>
      <c r="H670" s="54">
        <v>7.5</v>
      </c>
      <c r="I670" s="55">
        <f>Tableau3[[#This Row],[Stock final]]*Tableau3[[#This Row],[P.U.]]</f>
        <v>90</v>
      </c>
      <c r="J670" s="183"/>
      <c r="K670"/>
    </row>
    <row r="671" spans="1:11" ht="19.350000000000001" customHeight="1">
      <c r="A671" s="102" t="s">
        <v>13</v>
      </c>
      <c r="B671" s="102" t="s">
        <v>16</v>
      </c>
      <c r="C671" s="116" t="s">
        <v>188</v>
      </c>
      <c r="D671" s="11" t="s">
        <v>189</v>
      </c>
      <c r="F671" s="53"/>
      <c r="G671" s="10">
        <v>10</v>
      </c>
      <c r="H671" s="54">
        <v>16.86</v>
      </c>
      <c r="I671" s="55">
        <f>Tableau3[[#This Row],[Stock final]]*Tableau3[[#This Row],[P.U.]]</f>
        <v>168.6</v>
      </c>
      <c r="J671" s="183"/>
      <c r="K671"/>
    </row>
    <row r="672" spans="1:11" ht="19.350000000000001" customHeight="1">
      <c r="A672" s="102" t="s">
        <v>13</v>
      </c>
      <c r="B672" s="102" t="s">
        <v>16</v>
      </c>
      <c r="C672" s="116" t="s">
        <v>19</v>
      </c>
      <c r="D672" s="11" t="s">
        <v>190</v>
      </c>
      <c r="F672" s="53"/>
      <c r="G672" s="10">
        <v>0</v>
      </c>
      <c r="H672" s="54">
        <v>26.45</v>
      </c>
      <c r="I672" s="55">
        <f>Tableau3[[#This Row],[Stock final]]*Tableau3[[#This Row],[P.U.]]</f>
        <v>0</v>
      </c>
      <c r="J672" s="183"/>
      <c r="K672"/>
    </row>
    <row r="673" spans="1:11" ht="19.350000000000001" customHeight="1">
      <c r="A673" s="105" t="s">
        <v>13</v>
      </c>
      <c r="B673" s="105" t="s">
        <v>16</v>
      </c>
      <c r="C673" s="116" t="s">
        <v>20</v>
      </c>
      <c r="D673" s="11" t="s">
        <v>191</v>
      </c>
      <c r="F673" s="53"/>
      <c r="G673" s="10">
        <v>12</v>
      </c>
      <c r="H673" s="54">
        <v>18.62</v>
      </c>
      <c r="I673" s="55">
        <f>Tableau3[[#This Row],[Stock final]]*Tableau3[[#This Row],[P.U.]]</f>
        <v>223.44</v>
      </c>
      <c r="J673" s="183"/>
      <c r="K673"/>
    </row>
    <row r="674" spans="1:11" ht="19.350000000000001" customHeight="1">
      <c r="A674" s="102" t="s">
        <v>13</v>
      </c>
      <c r="B674" s="102" t="s">
        <v>16</v>
      </c>
      <c r="C674" s="116" t="s">
        <v>192</v>
      </c>
      <c r="D674" s="11" t="s">
        <v>193</v>
      </c>
      <c r="F674" s="53"/>
      <c r="G674" s="10">
        <v>5</v>
      </c>
      <c r="H674" s="54">
        <v>8.3699999999999992</v>
      </c>
      <c r="I674" s="55">
        <f>Tableau3[[#This Row],[Stock final]]*Tableau3[[#This Row],[P.U.]]</f>
        <v>41.849999999999994</v>
      </c>
      <c r="J674" s="183"/>
      <c r="K674"/>
    </row>
    <row r="675" spans="1:11" ht="19.350000000000001" customHeight="1">
      <c r="A675" s="102" t="s">
        <v>13</v>
      </c>
      <c r="B675" s="102" t="s">
        <v>16</v>
      </c>
      <c r="C675" s="116" t="s">
        <v>194</v>
      </c>
      <c r="D675" s="11" t="s">
        <v>195</v>
      </c>
      <c r="F675" s="53"/>
      <c r="G675" s="10">
        <v>1</v>
      </c>
      <c r="H675" s="54">
        <v>49.06</v>
      </c>
      <c r="I675" s="55">
        <f>Tableau3[[#This Row],[Stock final]]*Tableau3[[#This Row],[P.U.]]</f>
        <v>49.06</v>
      </c>
      <c r="J675" s="183"/>
      <c r="K675"/>
    </row>
    <row r="676" spans="1:11" ht="19.350000000000001" customHeight="1">
      <c r="A676" s="109" t="s">
        <v>13</v>
      </c>
      <c r="B676" s="109" t="s">
        <v>16</v>
      </c>
      <c r="C676" s="116" t="s">
        <v>196</v>
      </c>
      <c r="D676" s="11" t="s">
        <v>197</v>
      </c>
      <c r="F676" s="53"/>
      <c r="G676" s="10">
        <v>1</v>
      </c>
      <c r="H676" s="54">
        <v>70.900000000000006</v>
      </c>
      <c r="I676" s="55">
        <f>Tableau3[[#This Row],[Stock final]]*Tableau3[[#This Row],[P.U.]]</f>
        <v>70.900000000000006</v>
      </c>
      <c r="J676" s="183"/>
      <c r="K676"/>
    </row>
    <row r="677" spans="1:11" ht="19.350000000000001" customHeight="1">
      <c r="A677" s="102" t="s">
        <v>13</v>
      </c>
      <c r="B677" s="102" t="s">
        <v>16</v>
      </c>
      <c r="C677" s="116" t="s">
        <v>21</v>
      </c>
      <c r="D677" s="11" t="s">
        <v>198</v>
      </c>
      <c r="F677" s="53"/>
      <c r="G677" s="10">
        <v>1</v>
      </c>
      <c r="H677" s="54">
        <v>64.47</v>
      </c>
      <c r="I677" s="55">
        <f>Tableau3[[#This Row],[Stock final]]*Tableau3[[#This Row],[P.U.]]</f>
        <v>64.47</v>
      </c>
      <c r="J677" s="183"/>
      <c r="K677"/>
    </row>
    <row r="678" spans="1:11" ht="19.350000000000001" customHeight="1">
      <c r="A678" s="109" t="s">
        <v>13</v>
      </c>
      <c r="B678" s="109" t="s">
        <v>16</v>
      </c>
      <c r="C678" s="116" t="s">
        <v>199</v>
      </c>
      <c r="D678" s="11" t="s">
        <v>200</v>
      </c>
      <c r="F678" s="53"/>
      <c r="G678" s="10">
        <v>1</v>
      </c>
      <c r="H678" s="54">
        <v>163.41999999999999</v>
      </c>
      <c r="I678" s="55">
        <f>Tableau3[[#This Row],[Stock final]]*Tableau3[[#This Row],[P.U.]]</f>
        <v>163.41999999999999</v>
      </c>
      <c r="J678" s="183"/>
      <c r="K678"/>
    </row>
    <row r="679" spans="1:11" ht="19.350000000000001" customHeight="1">
      <c r="A679" s="105" t="s">
        <v>13</v>
      </c>
      <c r="B679" s="105" t="s">
        <v>16</v>
      </c>
      <c r="C679" s="116" t="s">
        <v>17</v>
      </c>
      <c r="D679" s="11" t="s">
        <v>201</v>
      </c>
      <c r="F679" s="53"/>
      <c r="G679" s="10">
        <v>1</v>
      </c>
      <c r="H679" s="54">
        <v>186.69</v>
      </c>
      <c r="I679" s="55">
        <f>Tableau3[[#This Row],[Stock final]]*Tableau3[[#This Row],[P.U.]]</f>
        <v>186.69</v>
      </c>
      <c r="J679" s="183"/>
      <c r="K679"/>
    </row>
    <row r="680" spans="1:11" ht="19.350000000000001" customHeight="1">
      <c r="A680" s="109" t="s">
        <v>13</v>
      </c>
      <c r="B680" s="109" t="s">
        <v>16</v>
      </c>
      <c r="C680" s="116" t="s">
        <v>202</v>
      </c>
      <c r="D680" s="11" t="s">
        <v>203</v>
      </c>
      <c r="F680" s="58"/>
      <c r="G680" s="10">
        <v>1</v>
      </c>
      <c r="H680" s="103">
        <v>127.12</v>
      </c>
      <c r="I680" s="60">
        <f>Tableau3[[#This Row],[Stock final]]*Tableau3[[#This Row],[P.U.]]</f>
        <v>127.12</v>
      </c>
      <c r="J680" s="183"/>
      <c r="K680"/>
    </row>
    <row r="681" spans="1:11" ht="19.350000000000001" customHeight="1">
      <c r="A681" s="105" t="s">
        <v>13</v>
      </c>
      <c r="B681" s="105" t="s">
        <v>16</v>
      </c>
      <c r="C681" s="116"/>
      <c r="F681" s="58"/>
      <c r="G681" s="10"/>
      <c r="H681" s="59"/>
      <c r="I681" s="60">
        <f>Tableau3[[#This Row],[Stock final]]*Tableau3[[#This Row],[P.U.]]</f>
        <v>0</v>
      </c>
      <c r="J681" s="183"/>
      <c r="K681"/>
    </row>
    <row r="682" spans="1:11" ht="19.350000000000001" customHeight="1">
      <c r="A682" s="109" t="s">
        <v>13</v>
      </c>
      <c r="B682" s="109" t="s">
        <v>16</v>
      </c>
      <c r="C682" s="116"/>
      <c r="F682" s="58"/>
      <c r="G682" s="10"/>
      <c r="H682" s="59"/>
      <c r="I682" s="60">
        <f>Tableau3[[#This Row],[Stock final]]*Tableau3[[#This Row],[P.U.]]</f>
        <v>0</v>
      </c>
      <c r="J682" s="183"/>
      <c r="K682"/>
    </row>
    <row r="683" spans="1:11" ht="19.350000000000001" customHeight="1">
      <c r="A683" s="105" t="s">
        <v>13</v>
      </c>
      <c r="B683" s="105" t="s">
        <v>16</v>
      </c>
      <c r="C683" s="116"/>
      <c r="F683" s="58"/>
      <c r="G683" s="10"/>
      <c r="H683" s="59"/>
      <c r="I683" s="60">
        <f>Tableau3[[#This Row],[Stock final]]*Tableau3[[#This Row],[P.U.]]</f>
        <v>0</v>
      </c>
      <c r="J683" s="183"/>
      <c r="K683"/>
    </row>
    <row r="684" spans="1:11" ht="19.350000000000001" customHeight="1">
      <c r="A684" s="102" t="s">
        <v>13</v>
      </c>
      <c r="B684" s="102" t="s">
        <v>16</v>
      </c>
      <c r="C684" s="116"/>
      <c r="F684" s="58"/>
      <c r="G684" s="10"/>
      <c r="H684" s="59"/>
      <c r="I684" s="60">
        <f>Tableau3[[#This Row],[Stock final]]*Tableau3[[#This Row],[P.U.]]</f>
        <v>0</v>
      </c>
      <c r="J684" s="183"/>
      <c r="K684"/>
    </row>
    <row r="685" spans="1:11" ht="19.350000000000001" customHeight="1">
      <c r="A685" s="102" t="s">
        <v>13</v>
      </c>
      <c r="B685" s="102" t="s">
        <v>16</v>
      </c>
      <c r="C685" s="116"/>
      <c r="F685" s="58"/>
      <c r="G685" s="10"/>
      <c r="H685" s="59"/>
      <c r="I685" s="60">
        <f>Tableau3[[#This Row],[Stock final]]*Tableau3[[#This Row],[P.U.]]</f>
        <v>0</v>
      </c>
      <c r="J685" s="183"/>
      <c r="K685"/>
    </row>
    <row r="686" spans="1:11" ht="19.350000000000001" customHeight="1">
      <c r="A686" s="102" t="s">
        <v>13</v>
      </c>
      <c r="B686" s="102" t="s">
        <v>16</v>
      </c>
      <c r="C686" s="116"/>
      <c r="F686" s="58"/>
      <c r="G686" s="10"/>
      <c r="H686" s="59"/>
      <c r="I686" s="60">
        <f>Tableau3[[#This Row],[Stock final]]*Tableau3[[#This Row],[P.U.]]</f>
        <v>0</v>
      </c>
      <c r="J686" s="183"/>
      <c r="K686"/>
    </row>
    <row r="687" spans="1:11" ht="19.350000000000001" customHeight="1">
      <c r="A687" s="102" t="s">
        <v>13</v>
      </c>
      <c r="B687" s="102" t="s">
        <v>16</v>
      </c>
      <c r="C687" s="116"/>
      <c r="F687" s="58"/>
      <c r="G687" s="10"/>
      <c r="H687" s="59"/>
      <c r="I687" s="60">
        <f>Tableau3[[#This Row],[Stock final]]*Tableau3[[#This Row],[P.U.]]</f>
        <v>0</v>
      </c>
      <c r="J687" s="183"/>
      <c r="K687"/>
    </row>
    <row r="688" spans="1:11" ht="19.350000000000001" customHeight="1">
      <c r="A688" s="102" t="s">
        <v>13</v>
      </c>
      <c r="B688" s="102" t="s">
        <v>16</v>
      </c>
      <c r="C688" s="116"/>
      <c r="F688" s="58"/>
      <c r="G688" s="10"/>
      <c r="H688" s="59"/>
      <c r="I688" s="60">
        <f>Tableau3[[#This Row],[Stock final]]*Tableau3[[#This Row],[P.U.]]</f>
        <v>0</v>
      </c>
      <c r="J688" s="183"/>
      <c r="K688"/>
    </row>
    <row r="689" spans="1:11" ht="19.350000000000001" customHeight="1">
      <c r="A689" s="102" t="s">
        <v>13</v>
      </c>
      <c r="B689" s="102" t="s">
        <v>16</v>
      </c>
      <c r="C689" s="116"/>
      <c r="F689" s="58"/>
      <c r="G689" s="10"/>
      <c r="H689" s="59"/>
      <c r="I689" s="60">
        <f>Tableau3[[#This Row],[Stock final]]*Tableau3[[#This Row],[P.U.]]</f>
        <v>0</v>
      </c>
      <c r="J689" s="183"/>
      <c r="K689"/>
    </row>
    <row r="690" spans="1:11" ht="19.350000000000001" customHeight="1">
      <c r="A690" s="102" t="s">
        <v>13</v>
      </c>
      <c r="B690" s="102" t="s">
        <v>16</v>
      </c>
      <c r="C690" s="116"/>
      <c r="F690" s="58"/>
      <c r="G690" s="10"/>
      <c r="H690" s="59"/>
      <c r="I690" s="60">
        <f>Tableau3[[#This Row],[Stock final]]*Tableau3[[#This Row],[P.U.]]</f>
        <v>0</v>
      </c>
      <c r="J690" s="183"/>
      <c r="K690"/>
    </row>
    <row r="691" spans="1:11" ht="19.350000000000001" customHeight="1">
      <c r="A691" s="102" t="s">
        <v>13</v>
      </c>
      <c r="B691" s="102" t="s">
        <v>16</v>
      </c>
      <c r="C691" s="116"/>
      <c r="F691" s="58"/>
      <c r="G691" s="10"/>
      <c r="H691" s="59"/>
      <c r="I691" s="60">
        <f>Tableau3[[#This Row],[Stock final]]*Tableau3[[#This Row],[P.U.]]</f>
        <v>0</v>
      </c>
      <c r="J691" s="183"/>
      <c r="K691"/>
    </row>
    <row r="692" spans="1:11" ht="19.350000000000001" customHeight="1">
      <c r="A692" s="102" t="s">
        <v>13</v>
      </c>
      <c r="B692" s="102" t="s">
        <v>16</v>
      </c>
      <c r="C692" s="116"/>
      <c r="F692" s="58"/>
      <c r="G692" s="10"/>
      <c r="H692" s="59"/>
      <c r="I692" s="60">
        <f>Tableau3[[#This Row],[Stock final]]*Tableau3[[#This Row],[P.U.]]</f>
        <v>0</v>
      </c>
      <c r="J692" s="183"/>
      <c r="K692"/>
    </row>
    <row r="693" spans="1:11" ht="19.350000000000001" customHeight="1">
      <c r="A693" s="102" t="s">
        <v>13</v>
      </c>
      <c r="B693" s="102" t="s">
        <v>16</v>
      </c>
      <c r="C693" s="116"/>
      <c r="F693" s="58"/>
      <c r="G693" s="10"/>
      <c r="H693" s="59"/>
      <c r="I693" s="60">
        <f>Tableau3[[#This Row],[Stock final]]*Tableau3[[#This Row],[P.U.]]</f>
        <v>0</v>
      </c>
      <c r="J693" s="183"/>
      <c r="K693"/>
    </row>
    <row r="694" spans="1:11" ht="19.350000000000001" customHeight="1">
      <c r="A694" s="102" t="s">
        <v>13</v>
      </c>
      <c r="B694" s="102" t="s">
        <v>16</v>
      </c>
      <c r="C694" s="116"/>
      <c r="F694" s="58"/>
      <c r="G694" s="10"/>
      <c r="H694" s="59"/>
      <c r="I694" s="60">
        <f>Tableau3[[#This Row],[Stock final]]*Tableau3[[#This Row],[P.U.]]</f>
        <v>0</v>
      </c>
      <c r="J694" s="183"/>
      <c r="K694"/>
    </row>
    <row r="695" spans="1:11" ht="19.350000000000001" customHeight="1">
      <c r="A695" s="102" t="s">
        <v>13</v>
      </c>
      <c r="B695" s="102" t="s">
        <v>16</v>
      </c>
      <c r="C695" s="116"/>
      <c r="F695" s="58"/>
      <c r="G695" s="10"/>
      <c r="H695" s="59"/>
      <c r="I695" s="60">
        <f>Tableau3[[#This Row],[Stock final]]*Tableau3[[#This Row],[P.U.]]</f>
        <v>0</v>
      </c>
      <c r="J695" s="183"/>
      <c r="K695"/>
    </row>
    <row r="696" spans="1:11" ht="19.350000000000001" customHeight="1">
      <c r="A696" s="102" t="s">
        <v>13</v>
      </c>
      <c r="B696" s="102"/>
      <c r="C696" s="116"/>
      <c r="F696" s="58"/>
      <c r="G696" s="10"/>
      <c r="H696" s="59"/>
      <c r="I696" s="60">
        <f>Tableau3[[#This Row],[Stock final]]*Tableau3[[#This Row],[P.U.]]</f>
        <v>0</v>
      </c>
      <c r="J696" s="183"/>
      <c r="K696"/>
    </row>
    <row r="697" spans="1:11" ht="19.350000000000001" customHeight="1">
      <c r="A697" s="105" t="s">
        <v>13</v>
      </c>
      <c r="B697" s="94"/>
      <c r="C697" s="116"/>
      <c r="F697" s="58"/>
      <c r="G697" s="10"/>
      <c r="H697" s="59"/>
      <c r="I697" s="60">
        <f>Tableau3[[#This Row],[Stock final]]*Tableau3[[#This Row],[P.U.]]</f>
        <v>0</v>
      </c>
      <c r="J697" s="183"/>
      <c r="K697"/>
    </row>
    <row r="698" spans="1:11" ht="19.350000000000001" customHeight="1">
      <c r="A698" s="109" t="s">
        <v>204</v>
      </c>
      <c r="B698" s="151"/>
      <c r="C698" s="116"/>
      <c r="F698" s="58"/>
      <c r="G698" s="10"/>
      <c r="H698" s="59"/>
      <c r="I698" s="60">
        <f>Tableau3[[#This Row],[Stock final]]*Tableau3[[#This Row],[P.U.]]</f>
        <v>0</v>
      </c>
      <c r="J698" s="183"/>
      <c r="K698"/>
    </row>
    <row r="699" spans="1:11" ht="19.350000000000001" customHeight="1">
      <c r="A699" s="102" t="s">
        <v>204</v>
      </c>
      <c r="B699" s="63"/>
      <c r="C699" s="116"/>
      <c r="F699" s="58"/>
      <c r="G699" s="10"/>
      <c r="H699" s="59"/>
      <c r="I699" s="60">
        <f>Tableau3[[#This Row],[Stock final]]*Tableau3[[#This Row],[P.U.]]</f>
        <v>0</v>
      </c>
      <c r="J699" s="183"/>
      <c r="K699"/>
    </row>
    <row r="700" spans="1:11" ht="19.350000000000001" customHeight="1">
      <c r="A700" s="102" t="s">
        <v>204</v>
      </c>
      <c r="B700" s="63"/>
      <c r="C700" s="116"/>
      <c r="F700" s="58"/>
      <c r="G700" s="10"/>
      <c r="H700" s="59"/>
      <c r="I700" s="60">
        <f>Tableau3[[#This Row],[Stock final]]*Tableau3[[#This Row],[P.U.]]</f>
        <v>0</v>
      </c>
      <c r="J700" s="183"/>
      <c r="K700"/>
    </row>
    <row r="701" spans="1:11" ht="19.350000000000001" customHeight="1">
      <c r="A701" s="102" t="s">
        <v>204</v>
      </c>
      <c r="B701" s="102"/>
      <c r="C701" s="116"/>
      <c r="F701" s="58"/>
      <c r="G701" s="10"/>
      <c r="H701" s="59"/>
      <c r="I701" s="60">
        <f>Tableau3[[#This Row],[Stock final]]*Tableau3[[#This Row],[P.U.]]</f>
        <v>0</v>
      </c>
      <c r="J701" s="183"/>
      <c r="K701"/>
    </row>
    <row r="702" spans="1:11" ht="19.350000000000001" customHeight="1">
      <c r="A702" s="102" t="s">
        <v>204</v>
      </c>
      <c r="B702" s="102"/>
      <c r="C702" s="116"/>
      <c r="F702" s="58"/>
      <c r="G702" s="10"/>
      <c r="H702" s="59"/>
      <c r="I702" s="60">
        <f>Tableau3[[#This Row],[Stock final]]*Tableau3[[#This Row],[P.U.]]</f>
        <v>0</v>
      </c>
      <c r="J702" s="183"/>
      <c r="K702"/>
    </row>
    <row r="703" spans="1:11" ht="19.350000000000001" customHeight="1">
      <c r="A703" s="102" t="s">
        <v>204</v>
      </c>
      <c r="B703" s="102"/>
      <c r="C703" s="116"/>
      <c r="F703" s="58"/>
      <c r="G703" s="10"/>
      <c r="H703" s="59"/>
      <c r="I703" s="60">
        <f>Tableau3[[#This Row],[Stock final]]*Tableau3[[#This Row],[P.U.]]</f>
        <v>0</v>
      </c>
      <c r="J703" s="183"/>
      <c r="K703"/>
    </row>
    <row r="704" spans="1:11" ht="19.350000000000001" customHeight="1">
      <c r="A704" s="102"/>
      <c r="B704" s="102"/>
      <c r="C704" s="116"/>
      <c r="F704" s="107"/>
      <c r="G704" s="10"/>
      <c r="H704" s="103"/>
      <c r="I704" s="108">
        <f>Tableau3[[#This Row],[Stock final]]*Tableau3[[#This Row],[P.U.]]</f>
        <v>0</v>
      </c>
      <c r="J704" s="183"/>
      <c r="K704"/>
    </row>
    <row r="705" spans="1:11" ht="19.350000000000001" customHeight="1">
      <c r="A705" s="102"/>
      <c r="B705" s="102"/>
      <c r="C705" s="116"/>
      <c r="F705" s="107"/>
      <c r="G705" s="10"/>
      <c r="H705" s="103"/>
      <c r="I705" s="108">
        <f>Tableau3[[#This Row],[Stock final]]*Tableau3[[#This Row],[P.U.]]</f>
        <v>0</v>
      </c>
      <c r="J705" s="183"/>
      <c r="K705"/>
    </row>
    <row r="706" spans="1:11" ht="19.350000000000001" customHeight="1">
      <c r="A706" s="102"/>
      <c r="B706" s="102"/>
      <c r="C706" s="116"/>
      <c r="F706" s="107"/>
      <c r="G706" s="10"/>
      <c r="H706" s="103"/>
      <c r="I706" s="108">
        <f>Tableau3[[#This Row],[Stock final]]*Tableau3[[#This Row],[P.U.]]</f>
        <v>0</v>
      </c>
      <c r="J706" s="183"/>
      <c r="K706"/>
    </row>
    <row r="707" spans="1:11" ht="19.350000000000001" customHeight="1">
      <c r="A707" s="102"/>
      <c r="B707" s="102"/>
      <c r="C707" s="116"/>
      <c r="F707" s="107"/>
      <c r="G707" s="10"/>
      <c r="H707" s="103"/>
      <c r="I707" s="108">
        <f>Tableau3[[#This Row],[Stock final]]*Tableau3[[#This Row],[P.U.]]</f>
        <v>0</v>
      </c>
      <c r="J707" s="183"/>
      <c r="K707"/>
    </row>
    <row r="708" spans="1:11" ht="19.350000000000001" customHeight="1">
      <c r="A708" s="102"/>
      <c r="B708" s="57"/>
      <c r="C708" s="116"/>
      <c r="F708" s="53"/>
      <c r="G708" s="10"/>
      <c r="H708" s="54"/>
      <c r="I708" s="55">
        <f>Tableau3[[#This Row],[Stock final]]*Tableau3[[#This Row],[P.U.]]</f>
        <v>0</v>
      </c>
      <c r="J708" s="183"/>
      <c r="K708"/>
    </row>
    <row r="709" spans="1:11" ht="19.350000000000001" customHeight="1">
      <c r="A709" s="102"/>
      <c r="B709" s="57"/>
      <c r="C709" s="116"/>
      <c r="F709" s="53"/>
      <c r="G709" s="10"/>
      <c r="H709" s="54"/>
      <c r="I709" s="55">
        <f>Tableau3[[#This Row],[Stock final]]*Tableau3[[#This Row],[P.U.]]</f>
        <v>0</v>
      </c>
      <c r="J709" s="183"/>
      <c r="K709"/>
    </row>
    <row r="710" spans="1:11" ht="19.350000000000001" customHeight="1">
      <c r="A710" s="102"/>
      <c r="B710" s="57"/>
      <c r="C710" s="116"/>
      <c r="F710" s="53"/>
      <c r="G710" s="10"/>
      <c r="H710" s="103"/>
      <c r="I710" s="55">
        <f>Tableau3[[#This Row],[Stock final]]*Tableau3[[#This Row],[P.U.]]</f>
        <v>0</v>
      </c>
      <c r="J710" s="183"/>
      <c r="K710"/>
    </row>
    <row r="711" spans="1:11" ht="19.350000000000001" customHeight="1">
      <c r="A711" s="102"/>
      <c r="B711" s="57"/>
      <c r="C711" s="116"/>
      <c r="F711" s="53"/>
      <c r="G711" s="10"/>
      <c r="H711" s="54"/>
      <c r="I711" s="55">
        <f>Tableau3[[#This Row],[Stock final]]*Tableau3[[#This Row],[P.U.]]</f>
        <v>0</v>
      </c>
      <c r="J711" s="183"/>
      <c r="K711"/>
    </row>
    <row r="712" spans="1:11" ht="19.350000000000001" customHeight="1">
      <c r="A712" s="109"/>
      <c r="B712" s="149"/>
      <c r="C712" s="116"/>
      <c r="F712" s="53"/>
      <c r="G712" s="10"/>
      <c r="H712" s="54"/>
      <c r="I712" s="55">
        <f>Tableau3[[#This Row],[Stock final]]*Tableau3[[#This Row],[P.U.]]</f>
        <v>0</v>
      </c>
      <c r="J712" s="183"/>
      <c r="K712"/>
    </row>
    <row r="713" spans="1:11" ht="19.350000000000001" customHeight="1">
      <c r="A713" s="105"/>
      <c r="B713" s="150"/>
      <c r="C713" s="116"/>
      <c r="F713" s="53"/>
      <c r="G713" s="10"/>
      <c r="H713" s="54"/>
      <c r="I713" s="55">
        <f>Tableau3[[#This Row],[Stock final]]*Tableau3[[#This Row],[P.U.]]</f>
        <v>0</v>
      </c>
      <c r="J713" s="183"/>
      <c r="K713"/>
    </row>
    <row r="714" spans="1:11" ht="19.350000000000001" customHeight="1">
      <c r="A714" s="102" t="s">
        <v>206</v>
      </c>
      <c r="B714" s="102" t="s">
        <v>1201</v>
      </c>
      <c r="C714" s="116" t="s">
        <v>1202</v>
      </c>
      <c r="D714" s="11" t="s">
        <v>1477</v>
      </c>
      <c r="F714" s="58"/>
      <c r="G714" s="10">
        <v>5</v>
      </c>
      <c r="H714" s="56"/>
      <c r="I714" s="60">
        <f>Tableau3[[#This Row],[Stock final]]*Tableau3[[#This Row],[P.U.]]</f>
        <v>0</v>
      </c>
      <c r="J714" s="183" t="s">
        <v>1479</v>
      </c>
      <c r="K714"/>
    </row>
    <row r="715" spans="1:11" ht="19.350000000000001" customHeight="1">
      <c r="A715" s="102" t="s">
        <v>206</v>
      </c>
      <c r="B715" s="102" t="s">
        <v>1478</v>
      </c>
      <c r="C715" s="116" t="s">
        <v>1202</v>
      </c>
      <c r="F715" s="58"/>
      <c r="G715" s="10">
        <v>1</v>
      </c>
      <c r="H715" s="56"/>
      <c r="I715" s="60">
        <f>Tableau3[[#This Row],[Stock final]]*Tableau3[[#This Row],[P.U.]]</f>
        <v>0</v>
      </c>
      <c r="J715" s="183" t="s">
        <v>1479</v>
      </c>
      <c r="K715"/>
    </row>
    <row r="716" spans="1:11" ht="19.350000000000001" customHeight="1">
      <c r="A716" s="102" t="s">
        <v>206</v>
      </c>
      <c r="B716" s="102" t="s">
        <v>1203</v>
      </c>
      <c r="C716" s="116" t="s">
        <v>1204</v>
      </c>
      <c r="D716" s="11">
        <v>4930275</v>
      </c>
      <c r="F716" s="58"/>
      <c r="G716" s="10">
        <v>1</v>
      </c>
      <c r="H716" s="56">
        <v>104.6</v>
      </c>
      <c r="I716" s="60">
        <f>Tableau3[[#This Row],[Stock final]]*Tableau3[[#This Row],[P.U.]]</f>
        <v>104.6</v>
      </c>
      <c r="J716" s="183"/>
      <c r="K716"/>
    </row>
    <row r="717" spans="1:11" ht="19.350000000000001" customHeight="1">
      <c r="A717" s="102" t="s">
        <v>206</v>
      </c>
      <c r="B717" s="102" t="s">
        <v>1205</v>
      </c>
      <c r="C717" s="116" t="s">
        <v>1204</v>
      </c>
      <c r="D717" s="11" t="s">
        <v>1481</v>
      </c>
      <c r="F717" s="58"/>
      <c r="G717" s="10">
        <v>1</v>
      </c>
      <c r="H717" s="59">
        <v>274.39999999999998</v>
      </c>
      <c r="I717" s="60">
        <f>Tableau3[[#This Row],[Stock final]]*Tableau3[[#This Row],[P.U.]]</f>
        <v>274.39999999999998</v>
      </c>
      <c r="J717" s="183"/>
      <c r="K717"/>
    </row>
    <row r="718" spans="1:11" ht="19.350000000000001" customHeight="1">
      <c r="A718" s="102" t="s">
        <v>206</v>
      </c>
      <c r="B718" s="102" t="s">
        <v>1204</v>
      </c>
      <c r="C718" s="116">
        <v>9070956</v>
      </c>
      <c r="D718" s="11" t="s">
        <v>1482</v>
      </c>
      <c r="F718" s="107"/>
      <c r="G718" s="10">
        <v>1</v>
      </c>
      <c r="H718" s="103">
        <v>113.48</v>
      </c>
      <c r="I718" s="108">
        <f>Tableau3[[#This Row],[Stock final]]*Tableau3[[#This Row],[P.U.]]</f>
        <v>113.48</v>
      </c>
      <c r="J718" s="183"/>
      <c r="K718"/>
    </row>
    <row r="719" spans="1:11" ht="19.350000000000001" customHeight="1">
      <c r="A719" s="102" t="s">
        <v>206</v>
      </c>
      <c r="B719" s="102" t="s">
        <v>1206</v>
      </c>
      <c r="C719" s="116">
        <v>161603</v>
      </c>
      <c r="F719" s="58"/>
      <c r="G719" s="10">
        <v>1</v>
      </c>
      <c r="H719" s="59">
        <v>322.20999999999998</v>
      </c>
      <c r="I719" s="60">
        <f>Tableau3[[#This Row],[Stock final]]*Tableau3[[#This Row],[P.U.]]</f>
        <v>322.20999999999998</v>
      </c>
      <c r="J719" s="183"/>
      <c r="K719"/>
    </row>
    <row r="720" spans="1:11" ht="19.350000000000001" customHeight="1">
      <c r="A720" s="102" t="s">
        <v>206</v>
      </c>
      <c r="B720" s="57"/>
      <c r="C720" s="116"/>
      <c r="F720" s="58"/>
      <c r="G720" s="10"/>
      <c r="H720" s="87"/>
      <c r="I720" s="60">
        <f>Tableau3[[#This Row],[Stock final]]*Tableau3[[#This Row],[P.U.]]</f>
        <v>0</v>
      </c>
      <c r="J720" s="183"/>
      <c r="K720"/>
    </row>
    <row r="721" spans="1:11" ht="19.350000000000001" customHeight="1">
      <c r="A721" s="102" t="s">
        <v>206</v>
      </c>
      <c r="B721" s="102" t="s">
        <v>15</v>
      </c>
      <c r="C721" s="152" t="s">
        <v>1483</v>
      </c>
      <c r="F721" s="58"/>
      <c r="G721" s="10">
        <v>2</v>
      </c>
      <c r="H721" s="59">
        <v>363.06</v>
      </c>
      <c r="I721" s="60">
        <f>Tableau3[[#This Row],[Stock final]]*Tableau3[[#This Row],[P.U.]]</f>
        <v>726.12</v>
      </c>
      <c r="J721" s="183"/>
      <c r="K721"/>
    </row>
    <row r="722" spans="1:11" ht="19.350000000000001" customHeight="1">
      <c r="A722" s="102" t="s">
        <v>206</v>
      </c>
      <c r="B722" s="102" t="s">
        <v>15</v>
      </c>
      <c r="C722" s="116" t="s">
        <v>1207</v>
      </c>
      <c r="F722" s="58"/>
      <c r="G722" s="10">
        <v>1</v>
      </c>
      <c r="H722" s="59">
        <v>178.8</v>
      </c>
      <c r="I722" s="60">
        <f>Tableau3[[#This Row],[Stock final]]*Tableau3[[#This Row],[P.U.]]</f>
        <v>178.8</v>
      </c>
      <c r="J722" s="183"/>
      <c r="K722"/>
    </row>
    <row r="723" spans="1:11" ht="19.350000000000001" customHeight="1">
      <c r="A723" s="102" t="s">
        <v>206</v>
      </c>
      <c r="B723" s="102" t="s">
        <v>15</v>
      </c>
      <c r="C723" s="116" t="s">
        <v>1208</v>
      </c>
      <c r="F723" s="58"/>
      <c r="G723" s="10">
        <v>1</v>
      </c>
      <c r="H723" s="59">
        <v>315.10000000000002</v>
      </c>
      <c r="I723" s="60">
        <f>Tableau3[[#This Row],[Stock final]]*Tableau3[[#This Row],[P.U.]]</f>
        <v>315.10000000000002</v>
      </c>
      <c r="J723" s="183"/>
      <c r="K723"/>
    </row>
    <row r="724" spans="1:11" ht="19.350000000000001" customHeight="1">
      <c r="A724" s="102" t="s">
        <v>206</v>
      </c>
      <c r="B724" s="102" t="s">
        <v>15</v>
      </c>
      <c r="C724" s="116" t="s">
        <v>1209</v>
      </c>
      <c r="F724" s="58"/>
      <c r="G724" s="10">
        <v>1</v>
      </c>
      <c r="H724" s="59"/>
      <c r="I724" s="60">
        <f>Tableau3[[#This Row],[Stock final]]*Tableau3[[#This Row],[P.U.]]</f>
        <v>0</v>
      </c>
      <c r="J724" s="183" t="s">
        <v>1479</v>
      </c>
      <c r="K724"/>
    </row>
    <row r="725" spans="1:11" ht="19.350000000000001" customHeight="1">
      <c r="A725" s="102" t="s">
        <v>206</v>
      </c>
      <c r="B725" s="102" t="s">
        <v>15</v>
      </c>
      <c r="C725" s="116" t="s">
        <v>1210</v>
      </c>
      <c r="F725" s="58"/>
      <c r="G725" s="10">
        <v>21</v>
      </c>
      <c r="H725" s="59">
        <v>75.680000000000007</v>
      </c>
      <c r="I725" s="60">
        <f>Tableau3[[#This Row],[Stock final]]*Tableau3[[#This Row],[P.U.]]</f>
        <v>1589.2800000000002</v>
      </c>
      <c r="J725" s="183"/>
      <c r="K725"/>
    </row>
    <row r="726" spans="1:11" ht="19.350000000000001" customHeight="1">
      <c r="A726" s="102" t="s">
        <v>206</v>
      </c>
      <c r="B726" s="102" t="s">
        <v>15</v>
      </c>
      <c r="C726" s="116" t="s">
        <v>1484</v>
      </c>
      <c r="F726" s="58"/>
      <c r="G726" s="10">
        <v>6</v>
      </c>
      <c r="H726" s="87">
        <v>35.729999999999997</v>
      </c>
      <c r="I726" s="60">
        <f>Tableau3[[#This Row],[Stock final]]*Tableau3[[#This Row],[P.U.]]</f>
        <v>214.38</v>
      </c>
      <c r="J726" s="183"/>
      <c r="K726"/>
    </row>
    <row r="727" spans="1:11" ht="19.350000000000001" customHeight="1">
      <c r="A727" s="102" t="s">
        <v>206</v>
      </c>
      <c r="B727" s="89"/>
      <c r="C727" s="116"/>
      <c r="F727" s="58"/>
      <c r="G727" s="10"/>
      <c r="H727" s="87"/>
      <c r="I727" s="60">
        <f>Tableau3[[#This Row],[Stock final]]*Tableau3[[#This Row],[P.U.]]</f>
        <v>0</v>
      </c>
      <c r="J727" s="183"/>
      <c r="K727"/>
    </row>
    <row r="728" spans="1:11" ht="19.350000000000001" customHeight="1">
      <c r="A728" s="102" t="s">
        <v>206</v>
      </c>
      <c r="B728" s="102" t="s">
        <v>1211</v>
      </c>
      <c r="C728" s="116" t="s">
        <v>1212</v>
      </c>
      <c r="D728" s="11" t="s">
        <v>1213</v>
      </c>
      <c r="F728" s="58"/>
      <c r="G728" s="10">
        <v>1</v>
      </c>
      <c r="H728" s="59">
        <v>223.76</v>
      </c>
      <c r="I728" s="60">
        <f>Tableau3[[#This Row],[Stock final]]*Tableau3[[#This Row],[P.U.]]</f>
        <v>223.76</v>
      </c>
      <c r="J728" s="183"/>
      <c r="K728"/>
    </row>
    <row r="729" spans="1:11" ht="19.350000000000001" customHeight="1">
      <c r="A729" s="102" t="s">
        <v>206</v>
      </c>
      <c r="B729" s="102" t="s">
        <v>1211</v>
      </c>
      <c r="C729" s="116" t="s">
        <v>1485</v>
      </c>
      <c r="D729" s="11" t="s">
        <v>1486</v>
      </c>
      <c r="F729" s="58"/>
      <c r="G729" s="10">
        <v>1</v>
      </c>
      <c r="H729" s="59"/>
      <c r="I729" s="60">
        <f>Tableau3[[#This Row],[Stock final]]*Tableau3[[#This Row],[P.U.]]</f>
        <v>0</v>
      </c>
      <c r="J729" s="183" t="s">
        <v>1487</v>
      </c>
      <c r="K729"/>
    </row>
    <row r="730" spans="1:11" ht="19.350000000000001" customHeight="1">
      <c r="A730" s="102"/>
      <c r="B730" s="102" t="s">
        <v>1211</v>
      </c>
      <c r="C730" s="116" t="s">
        <v>1490</v>
      </c>
      <c r="D730" s="11" t="s">
        <v>1491</v>
      </c>
      <c r="F730" s="107"/>
      <c r="G730" s="10">
        <v>1</v>
      </c>
      <c r="H730" s="103">
        <v>297</v>
      </c>
      <c r="I730" s="108">
        <f>Tableau3[[#This Row],[Stock final]]*Tableau3[[#This Row],[P.U.]]</f>
        <v>297</v>
      </c>
      <c r="J730" s="183"/>
      <c r="K730"/>
    </row>
    <row r="731" spans="1:11" ht="19.350000000000001" customHeight="1">
      <c r="A731" s="102" t="s">
        <v>206</v>
      </c>
      <c r="B731" s="102" t="s">
        <v>1211</v>
      </c>
      <c r="C731" s="116" t="s">
        <v>1488</v>
      </c>
      <c r="D731" s="11" t="s">
        <v>1489</v>
      </c>
      <c r="F731" s="58"/>
      <c r="G731" s="10">
        <v>1</v>
      </c>
      <c r="H731" s="59">
        <v>264.10000000000002</v>
      </c>
      <c r="I731" s="60">
        <f>Tableau3[[#This Row],[Stock final]]*Tableau3[[#This Row],[P.U.]]</f>
        <v>264.10000000000002</v>
      </c>
      <c r="J731" s="183"/>
      <c r="K731"/>
    </row>
    <row r="732" spans="1:11" ht="19.350000000000001" customHeight="1">
      <c r="A732" s="102"/>
      <c r="B732" s="102" t="s">
        <v>1211</v>
      </c>
      <c r="C732" s="116" t="s">
        <v>1492</v>
      </c>
      <c r="D732" s="11" t="s">
        <v>1493</v>
      </c>
      <c r="F732" s="107"/>
      <c r="G732" s="10">
        <v>2</v>
      </c>
      <c r="H732" s="103">
        <v>194.89</v>
      </c>
      <c r="I732" s="108">
        <f>Tableau3[[#This Row],[Stock final]]*Tableau3[[#This Row],[P.U.]]</f>
        <v>389.78</v>
      </c>
      <c r="J732" s="183"/>
      <c r="K732"/>
    </row>
    <row r="733" spans="1:11" ht="19.350000000000001" customHeight="1">
      <c r="A733" s="102" t="s">
        <v>206</v>
      </c>
      <c r="B733" s="102"/>
      <c r="C733" s="116"/>
      <c r="F733" s="58"/>
      <c r="G733" s="10"/>
      <c r="H733" s="59"/>
      <c r="I733" s="60">
        <f>Tableau3[[#This Row],[Stock final]]*Tableau3[[#This Row],[P.U.]]</f>
        <v>0</v>
      </c>
      <c r="J733" s="183"/>
      <c r="K733"/>
    </row>
    <row r="734" spans="1:11" ht="19.350000000000001" customHeight="1">
      <c r="A734" s="102" t="s">
        <v>206</v>
      </c>
      <c r="B734" s="102" t="s">
        <v>15</v>
      </c>
      <c r="C734" s="116" t="s">
        <v>1214</v>
      </c>
      <c r="F734" s="58"/>
      <c r="G734" s="10">
        <v>6</v>
      </c>
      <c r="H734" s="87">
        <v>52.1</v>
      </c>
      <c r="I734" s="60">
        <f>Tableau3[[#This Row],[Stock final]]*Tableau3[[#This Row],[P.U.]]</f>
        <v>312.60000000000002</v>
      </c>
      <c r="J734" s="183"/>
      <c r="K734"/>
    </row>
    <row r="735" spans="1:11" ht="19.350000000000001" customHeight="1">
      <c r="A735" s="102" t="s">
        <v>206</v>
      </c>
      <c r="B735" s="102" t="s">
        <v>15</v>
      </c>
      <c r="C735" s="116" t="s">
        <v>1494</v>
      </c>
      <c r="F735" s="58"/>
      <c r="G735" s="10">
        <v>2</v>
      </c>
      <c r="H735" s="59">
        <v>52.1</v>
      </c>
      <c r="I735" s="60">
        <f>Tableau3[[#This Row],[Stock final]]*Tableau3[[#This Row],[P.U.]]</f>
        <v>104.2</v>
      </c>
      <c r="J735" s="183"/>
      <c r="K735"/>
    </row>
    <row r="736" spans="1:11" ht="19.350000000000001" customHeight="1">
      <c r="A736" s="102" t="s">
        <v>206</v>
      </c>
      <c r="B736" s="102" t="s">
        <v>15</v>
      </c>
      <c r="C736" s="116" t="s">
        <v>1495</v>
      </c>
      <c r="F736" s="58"/>
      <c r="G736" s="10">
        <v>1</v>
      </c>
      <c r="H736" s="59">
        <v>107.64</v>
      </c>
      <c r="I736" s="60">
        <f>Tableau3[[#This Row],[Stock final]]*Tableau3[[#This Row],[P.U.]]</f>
        <v>107.64</v>
      </c>
      <c r="J736" s="183"/>
      <c r="K736"/>
    </row>
    <row r="737" spans="1:11" ht="19.350000000000001" customHeight="1">
      <c r="A737" s="102" t="s">
        <v>206</v>
      </c>
      <c r="B737" s="57"/>
      <c r="C737" s="116"/>
      <c r="F737" s="58"/>
      <c r="G737" s="10"/>
      <c r="H737" s="59"/>
      <c r="I737" s="60">
        <f>Tableau3[[#This Row],[Stock final]]*Tableau3[[#This Row],[P.U.]]</f>
        <v>0</v>
      </c>
      <c r="J737" s="183"/>
      <c r="K737"/>
    </row>
    <row r="738" spans="1:11" ht="19.350000000000001" customHeight="1">
      <c r="A738" s="102" t="s">
        <v>206</v>
      </c>
      <c r="B738" s="57"/>
      <c r="C738" s="116"/>
      <c r="F738" s="58"/>
      <c r="G738" s="10"/>
      <c r="H738" s="59"/>
      <c r="I738" s="60">
        <f>Tableau3[[#This Row],[Stock final]]*Tableau3[[#This Row],[P.U.]]</f>
        <v>0</v>
      </c>
      <c r="J738" s="183"/>
      <c r="K738"/>
    </row>
    <row r="739" spans="1:11" ht="19.350000000000001" customHeight="1">
      <c r="A739" s="102" t="s">
        <v>206</v>
      </c>
      <c r="B739" s="57"/>
      <c r="C739" s="116"/>
      <c r="F739" s="58"/>
      <c r="G739" s="10"/>
      <c r="H739" s="59"/>
      <c r="I739" s="60">
        <f>Tableau3[[#This Row],[Stock final]]*Tableau3[[#This Row],[P.U.]]</f>
        <v>0</v>
      </c>
      <c r="J739" s="183"/>
      <c r="K739"/>
    </row>
    <row r="740" spans="1:11" ht="19.350000000000001" customHeight="1">
      <c r="A740" s="102" t="s">
        <v>206</v>
      </c>
      <c r="B740" s="102"/>
      <c r="C740" s="116"/>
      <c r="F740" s="58"/>
      <c r="G740" s="10"/>
      <c r="H740" s="59"/>
      <c r="I740" s="60">
        <f>Tableau3[[#This Row],[Stock final]]*Tableau3[[#This Row],[P.U.]]</f>
        <v>0</v>
      </c>
      <c r="J740" s="183"/>
      <c r="K740"/>
    </row>
    <row r="741" spans="1:11" ht="19.350000000000001" customHeight="1">
      <c r="A741" s="102" t="s">
        <v>207</v>
      </c>
      <c r="B741" s="102"/>
      <c r="C741" s="116"/>
      <c r="F741" s="58"/>
      <c r="G741" s="10"/>
      <c r="H741" s="59"/>
      <c r="I741" s="60">
        <f>Tableau3[[#This Row],[Stock final]]*Tableau3[[#This Row],[P.U.]]</f>
        <v>0</v>
      </c>
      <c r="J741" s="183"/>
      <c r="K741"/>
    </row>
    <row r="742" spans="1:11" ht="19.350000000000001" customHeight="1">
      <c r="A742" s="102" t="s">
        <v>207</v>
      </c>
      <c r="B742" s="57"/>
      <c r="C742" s="116"/>
      <c r="F742" s="58"/>
      <c r="G742" s="10"/>
      <c r="H742" s="59"/>
      <c r="I742" s="60">
        <f>Tableau3[[#This Row],[Stock final]]*Tableau3[[#This Row],[P.U.]]</f>
        <v>0</v>
      </c>
      <c r="J742" s="183"/>
      <c r="K742"/>
    </row>
    <row r="743" spans="1:11" ht="19.350000000000001" customHeight="1">
      <c r="A743" s="102" t="s">
        <v>207</v>
      </c>
      <c r="B743" s="57"/>
      <c r="C743" s="116"/>
      <c r="F743" s="58"/>
      <c r="G743" s="10"/>
      <c r="H743" s="59"/>
      <c r="I743" s="60">
        <f>Tableau3[[#This Row],[Stock final]]*Tableau3[[#This Row],[P.U.]]</f>
        <v>0</v>
      </c>
      <c r="J743" s="183"/>
      <c r="K743"/>
    </row>
    <row r="744" spans="1:11" ht="19.350000000000001" customHeight="1">
      <c r="A744" s="102" t="s">
        <v>207</v>
      </c>
      <c r="B744" s="57"/>
      <c r="C744" s="116"/>
      <c r="F744" s="58"/>
      <c r="G744" s="10"/>
      <c r="H744" s="59"/>
      <c r="I744" s="60">
        <f>Tableau3[[#This Row],[Stock final]]*Tableau3[[#This Row],[P.U.]]</f>
        <v>0</v>
      </c>
      <c r="J744" s="183"/>
      <c r="K744"/>
    </row>
    <row r="745" spans="1:11" ht="19.350000000000001" customHeight="1">
      <c r="A745" s="102" t="s">
        <v>207</v>
      </c>
      <c r="B745" s="102"/>
      <c r="C745" s="116"/>
      <c r="F745" s="58"/>
      <c r="G745" s="10"/>
      <c r="H745" s="59"/>
      <c r="I745" s="60">
        <f>Tableau3[[#This Row],[Stock final]]*Tableau3[[#This Row],[P.U.]]</f>
        <v>0</v>
      </c>
      <c r="J745" s="183"/>
      <c r="K745"/>
    </row>
    <row r="746" spans="1:11" ht="19.350000000000001" customHeight="1">
      <c r="A746" s="102" t="s">
        <v>207</v>
      </c>
      <c r="B746" s="57"/>
      <c r="C746" s="116"/>
      <c r="F746" s="58"/>
      <c r="G746" s="10"/>
      <c r="H746" s="59"/>
      <c r="I746" s="60">
        <f>Tableau3[[#This Row],[Stock final]]*Tableau3[[#This Row],[P.U.]]</f>
        <v>0</v>
      </c>
      <c r="J746" s="183"/>
      <c r="K746"/>
    </row>
    <row r="747" spans="1:11" ht="19.350000000000001" customHeight="1">
      <c r="A747" s="102" t="s">
        <v>207</v>
      </c>
      <c r="B747" s="57"/>
      <c r="C747" s="116"/>
      <c r="F747" s="58"/>
      <c r="G747" s="10"/>
      <c r="H747" s="88"/>
      <c r="I747" s="60">
        <f>Tableau3[[#This Row],[Stock final]]*Tableau3[[#This Row],[P.U.]]</f>
        <v>0</v>
      </c>
      <c r="J747" s="183"/>
      <c r="K747"/>
    </row>
    <row r="748" spans="1:11" ht="19.350000000000001" customHeight="1">
      <c r="A748" s="102" t="s">
        <v>207</v>
      </c>
      <c r="B748" s="89"/>
      <c r="C748" s="116"/>
      <c r="F748" s="58"/>
      <c r="G748" s="10"/>
      <c r="H748" s="88"/>
      <c r="I748" s="60">
        <f>Tableau3[[#This Row],[Stock final]]*Tableau3[[#This Row],[P.U.]]</f>
        <v>0</v>
      </c>
      <c r="J748" s="183"/>
      <c r="K748"/>
    </row>
    <row r="749" spans="1:11" ht="19.350000000000001" customHeight="1">
      <c r="A749" s="102" t="s">
        <v>207</v>
      </c>
      <c r="B749" s="89"/>
      <c r="C749" s="116"/>
      <c r="F749" s="58"/>
      <c r="G749" s="10"/>
      <c r="H749" s="88"/>
      <c r="I749" s="60">
        <f>Tableau3[[#This Row],[Stock final]]*Tableau3[[#This Row],[P.U.]]</f>
        <v>0</v>
      </c>
      <c r="J749" s="183"/>
      <c r="K749"/>
    </row>
    <row r="750" spans="1:11" ht="19.350000000000001" customHeight="1">
      <c r="A750" s="102" t="s">
        <v>207</v>
      </c>
      <c r="B750" s="89"/>
      <c r="C750" s="116"/>
      <c r="F750" s="58"/>
      <c r="G750" s="10"/>
      <c r="H750" s="90"/>
      <c r="I750" s="60">
        <f>Tableau3[[#This Row],[Stock final]]*Tableau3[[#This Row],[P.U.]]</f>
        <v>0</v>
      </c>
      <c r="J750" s="183"/>
      <c r="K750"/>
    </row>
    <row r="751" spans="1:11" ht="19.350000000000001" customHeight="1">
      <c r="A751" s="102" t="s">
        <v>207</v>
      </c>
      <c r="B751" s="89"/>
      <c r="C751" s="116"/>
      <c r="F751" s="58"/>
      <c r="G751" s="10"/>
      <c r="H751" s="88"/>
      <c r="I751" s="60">
        <f>Tableau3[[#This Row],[Stock final]]*Tableau3[[#This Row],[P.U.]]</f>
        <v>0</v>
      </c>
      <c r="J751" s="183"/>
      <c r="K751"/>
    </row>
    <row r="752" spans="1:11" ht="19.350000000000001" customHeight="1">
      <c r="A752" s="102" t="s">
        <v>207</v>
      </c>
      <c r="B752" s="102"/>
      <c r="C752" s="116"/>
      <c r="F752" s="58"/>
      <c r="G752" s="10"/>
      <c r="H752" s="88"/>
      <c r="I752" s="60">
        <f>Tableau3[[#This Row],[Stock final]]*Tableau3[[#This Row],[P.U.]]</f>
        <v>0</v>
      </c>
      <c r="J752" s="183"/>
      <c r="K752"/>
    </row>
    <row r="753" spans="1:11" ht="19.350000000000001" customHeight="1">
      <c r="A753" s="102" t="s">
        <v>207</v>
      </c>
      <c r="B753" s="81"/>
      <c r="C753" s="116"/>
      <c r="F753" s="58"/>
      <c r="G753" s="10"/>
      <c r="H753" s="59"/>
      <c r="I753" s="60">
        <f>Tableau3[[#This Row],[Stock final]]*Tableau3[[#This Row],[P.U.]]</f>
        <v>0</v>
      </c>
      <c r="J753" s="183"/>
      <c r="K753"/>
    </row>
    <row r="754" spans="1:11" ht="19.350000000000001" customHeight="1">
      <c r="A754" s="102" t="s">
        <v>207</v>
      </c>
      <c r="B754" s="81"/>
      <c r="C754" s="116"/>
      <c r="F754" s="58"/>
      <c r="G754" s="10"/>
      <c r="H754" s="59"/>
      <c r="I754" s="60">
        <f>Tableau3[[#This Row],[Stock final]]*Tableau3[[#This Row],[P.U.]]</f>
        <v>0</v>
      </c>
      <c r="J754" s="183"/>
      <c r="K754"/>
    </row>
    <row r="755" spans="1:11" ht="19.350000000000001" customHeight="1">
      <c r="A755" s="102" t="s">
        <v>207</v>
      </c>
      <c r="B755" s="57"/>
      <c r="C755" s="116"/>
      <c r="F755" s="58"/>
      <c r="G755" s="10"/>
      <c r="H755" s="59"/>
      <c r="I755" s="60">
        <f>Tableau3[[#This Row],[Stock final]]*Tableau3[[#This Row],[P.U.]]</f>
        <v>0</v>
      </c>
      <c r="J755" s="183"/>
      <c r="K755"/>
    </row>
    <row r="756" spans="1:11" ht="19.350000000000001" customHeight="1">
      <c r="A756" s="102" t="s">
        <v>207</v>
      </c>
      <c r="B756" s="63"/>
      <c r="C756" s="116"/>
      <c r="F756" s="58"/>
      <c r="G756" s="10"/>
      <c r="H756" s="59"/>
      <c r="I756" s="60">
        <f>Tableau3[[#This Row],[Stock final]]*Tableau3[[#This Row],[P.U.]]</f>
        <v>0</v>
      </c>
      <c r="J756" s="183"/>
      <c r="K756"/>
    </row>
    <row r="757" spans="1:11" ht="19.350000000000001" customHeight="1">
      <c r="A757" s="102" t="s">
        <v>207</v>
      </c>
      <c r="B757" s="57"/>
      <c r="C757" s="116"/>
      <c r="F757" s="58"/>
      <c r="G757" s="10"/>
      <c r="H757" s="59"/>
      <c r="I757" s="60">
        <f>Tableau3[[#This Row],[Stock final]]*Tableau3[[#This Row],[P.U.]]</f>
        <v>0</v>
      </c>
      <c r="J757" s="183"/>
      <c r="K757"/>
    </row>
    <row r="758" spans="1:11" ht="19.350000000000001" customHeight="1">
      <c r="A758" s="102" t="s">
        <v>207</v>
      </c>
      <c r="B758" s="57"/>
      <c r="C758" s="116"/>
      <c r="F758" s="58"/>
      <c r="G758" s="10"/>
      <c r="H758" s="59"/>
      <c r="I758" s="60">
        <f>Tableau3[[#This Row],[Stock final]]*Tableau3[[#This Row],[P.U.]]</f>
        <v>0</v>
      </c>
      <c r="J758" s="183"/>
      <c r="K758"/>
    </row>
    <row r="759" spans="1:11" ht="19.350000000000001" customHeight="1">
      <c r="A759" s="102" t="s">
        <v>207</v>
      </c>
      <c r="B759" s="57"/>
      <c r="C759" s="116"/>
      <c r="F759" s="58"/>
      <c r="G759" s="10"/>
      <c r="H759" s="59"/>
      <c r="I759" s="60">
        <f>Tableau3[[#This Row],[Stock final]]*Tableau3[[#This Row],[P.U.]]</f>
        <v>0</v>
      </c>
      <c r="J759" s="183"/>
      <c r="K759"/>
    </row>
    <row r="760" spans="1:11" ht="19.350000000000001" customHeight="1">
      <c r="A760" s="102" t="s">
        <v>207</v>
      </c>
      <c r="B760" s="57"/>
      <c r="C760" s="116"/>
      <c r="F760" s="58"/>
      <c r="G760" s="10"/>
      <c r="H760" s="59"/>
      <c r="I760" s="60">
        <f>Tableau3[[#This Row],[Stock final]]*Tableau3[[#This Row],[P.U.]]</f>
        <v>0</v>
      </c>
      <c r="J760" s="183"/>
      <c r="K760"/>
    </row>
    <row r="761" spans="1:11" ht="19.350000000000001" customHeight="1">
      <c r="A761" s="102" t="s">
        <v>207</v>
      </c>
      <c r="B761" s="57"/>
      <c r="C761" s="116"/>
      <c r="F761" s="58"/>
      <c r="G761" s="10"/>
      <c r="H761" s="59"/>
      <c r="I761" s="60">
        <f>Tableau3[[#This Row],[Stock final]]*Tableau3[[#This Row],[P.U.]]</f>
        <v>0</v>
      </c>
      <c r="J761" s="183"/>
      <c r="K761"/>
    </row>
    <row r="762" spans="1:11" ht="19.350000000000001" customHeight="1">
      <c r="A762" s="102" t="s">
        <v>207</v>
      </c>
      <c r="B762" s="61"/>
      <c r="C762" s="116"/>
      <c r="F762" s="58"/>
      <c r="G762" s="10"/>
      <c r="H762" s="59"/>
      <c r="I762" s="60">
        <f>Tableau3[[#This Row],[Stock final]]*Tableau3[[#This Row],[P.U.]]</f>
        <v>0</v>
      </c>
      <c r="J762" s="183"/>
      <c r="K762"/>
    </row>
    <row r="763" spans="1:11" ht="19.350000000000001" customHeight="1">
      <c r="A763" s="102" t="s">
        <v>207</v>
      </c>
      <c r="B763" s="57"/>
      <c r="C763" s="116"/>
      <c r="F763" s="58"/>
      <c r="G763" s="10"/>
      <c r="H763" s="59"/>
      <c r="I763" s="60">
        <f>Tableau3[[#This Row],[Stock final]]*Tableau3[[#This Row],[P.U.]]</f>
        <v>0</v>
      </c>
      <c r="J763" s="183"/>
      <c r="K763"/>
    </row>
    <row r="764" spans="1:11" ht="19.350000000000001" customHeight="1">
      <c r="A764" s="102" t="s">
        <v>207</v>
      </c>
      <c r="B764" s="57"/>
      <c r="C764" s="116"/>
      <c r="F764" s="58"/>
      <c r="G764" s="10"/>
      <c r="H764" s="59"/>
      <c r="I764" s="60">
        <f>Tableau3[[#This Row],[Stock final]]*Tableau3[[#This Row],[P.U.]]</f>
        <v>0</v>
      </c>
      <c r="J764" s="183"/>
      <c r="K764"/>
    </row>
    <row r="765" spans="1:11" ht="19.350000000000001" customHeight="1">
      <c r="A765" s="102" t="s">
        <v>207</v>
      </c>
      <c r="B765" s="61"/>
      <c r="C765" s="116"/>
      <c r="F765" s="58"/>
      <c r="G765" s="10"/>
      <c r="H765" s="59"/>
      <c r="I765" s="60">
        <f>Tableau3[[#This Row],[Stock final]]*Tableau3[[#This Row],[P.U.]]</f>
        <v>0</v>
      </c>
      <c r="J765" s="183"/>
      <c r="K765"/>
    </row>
    <row r="766" spans="1:11" ht="19.350000000000001" customHeight="1">
      <c r="A766" s="102" t="s">
        <v>208</v>
      </c>
      <c r="B766" s="61"/>
      <c r="C766" s="116"/>
      <c r="F766" s="58"/>
      <c r="G766" s="10"/>
      <c r="H766" s="59"/>
      <c r="I766" s="60">
        <f>Tableau3[[#This Row],[Stock final]]*Tableau3[[#This Row],[P.U.]]</f>
        <v>0</v>
      </c>
      <c r="J766" s="183"/>
      <c r="K766"/>
    </row>
    <row r="767" spans="1:11" ht="19.350000000000001" customHeight="1">
      <c r="A767" s="102" t="s">
        <v>208</v>
      </c>
      <c r="B767" s="61"/>
      <c r="C767" s="116"/>
      <c r="F767" s="58"/>
      <c r="G767" s="10"/>
      <c r="H767" s="59"/>
      <c r="I767" s="60">
        <f>Tableau3[[#This Row],[Stock final]]*Tableau3[[#This Row],[P.U.]]</f>
        <v>0</v>
      </c>
      <c r="J767" s="183"/>
      <c r="K767"/>
    </row>
    <row r="768" spans="1:11" ht="19.350000000000001" customHeight="1">
      <c r="A768" s="102" t="s">
        <v>208</v>
      </c>
      <c r="B768" s="61"/>
      <c r="C768" s="116"/>
      <c r="F768" s="58"/>
      <c r="G768" s="10"/>
      <c r="H768" s="59"/>
      <c r="I768" s="60">
        <f>Tableau3[[#This Row],[Stock final]]*Tableau3[[#This Row],[P.U.]]</f>
        <v>0</v>
      </c>
      <c r="J768" s="183"/>
      <c r="K768"/>
    </row>
    <row r="769" spans="1:11" ht="19.350000000000001" customHeight="1">
      <c r="A769" s="102" t="s">
        <v>208</v>
      </c>
      <c r="B769" s="61"/>
      <c r="C769" s="116"/>
      <c r="F769" s="58"/>
      <c r="G769" s="10"/>
      <c r="H769" s="59"/>
      <c r="I769" s="60">
        <f>Tableau3[[#This Row],[Stock final]]*Tableau3[[#This Row],[P.U.]]</f>
        <v>0</v>
      </c>
      <c r="J769" s="183"/>
      <c r="K769"/>
    </row>
    <row r="770" spans="1:11" ht="19.350000000000001" customHeight="1">
      <c r="A770" s="102" t="s">
        <v>208</v>
      </c>
      <c r="B770" s="61"/>
      <c r="C770" s="116"/>
      <c r="F770" s="58"/>
      <c r="G770" s="10"/>
      <c r="H770" s="59"/>
      <c r="I770" s="60">
        <f>Tableau3[[#This Row],[Stock final]]*Tableau3[[#This Row],[P.U.]]</f>
        <v>0</v>
      </c>
      <c r="J770" s="183"/>
      <c r="K770"/>
    </row>
    <row r="771" spans="1:11" ht="19.350000000000001" customHeight="1">
      <c r="A771" s="102" t="s">
        <v>208</v>
      </c>
      <c r="B771" s="61"/>
      <c r="C771" s="116"/>
      <c r="F771" s="58"/>
      <c r="G771" s="10"/>
      <c r="H771" s="59"/>
      <c r="I771" s="60">
        <f>Tableau3[[#This Row],[Stock final]]*Tableau3[[#This Row],[P.U.]]</f>
        <v>0</v>
      </c>
      <c r="J771" s="183"/>
      <c r="K771"/>
    </row>
    <row r="772" spans="1:11" ht="19.350000000000001" customHeight="1">
      <c r="A772" s="102" t="s">
        <v>208</v>
      </c>
      <c r="B772" s="61"/>
      <c r="C772" s="116"/>
      <c r="F772" s="58"/>
      <c r="G772" s="10"/>
      <c r="H772" s="59"/>
      <c r="I772" s="60">
        <f>Tableau3[[#This Row],[Stock final]]*Tableau3[[#This Row],[P.U.]]</f>
        <v>0</v>
      </c>
      <c r="J772" s="183"/>
      <c r="K772"/>
    </row>
    <row r="773" spans="1:11" ht="19.350000000000001" customHeight="1">
      <c r="A773" s="102" t="s">
        <v>208</v>
      </c>
      <c r="B773" s="61"/>
      <c r="C773" s="116"/>
      <c r="F773" s="58"/>
      <c r="G773" s="10"/>
      <c r="H773" s="59"/>
      <c r="I773" s="60">
        <f>Tableau3[[#This Row],[Stock final]]*Tableau3[[#This Row],[P.U.]]</f>
        <v>0</v>
      </c>
      <c r="J773" s="183"/>
      <c r="K773"/>
    </row>
    <row r="774" spans="1:11" ht="19.350000000000001" customHeight="1">
      <c r="A774" s="102" t="s">
        <v>208</v>
      </c>
      <c r="B774" s="61"/>
      <c r="C774" s="116"/>
      <c r="F774" s="58"/>
      <c r="G774" s="10"/>
      <c r="H774" s="59"/>
      <c r="I774" s="60">
        <f>Tableau3[[#This Row],[Stock final]]*Tableau3[[#This Row],[P.U.]]</f>
        <v>0</v>
      </c>
      <c r="J774" s="183"/>
      <c r="K774"/>
    </row>
    <row r="775" spans="1:11" ht="19.350000000000001" customHeight="1">
      <c r="A775" s="102" t="s">
        <v>208</v>
      </c>
      <c r="B775" s="61"/>
      <c r="C775" s="116"/>
      <c r="F775" s="58"/>
      <c r="G775" s="10"/>
      <c r="H775" s="59"/>
      <c r="I775" s="60">
        <f>Tableau3[[#This Row],[Stock final]]*Tableau3[[#This Row],[P.U.]]</f>
        <v>0</v>
      </c>
      <c r="J775" s="183"/>
      <c r="K775"/>
    </row>
    <row r="776" spans="1:11" ht="19.350000000000001" customHeight="1">
      <c r="A776" s="102" t="s">
        <v>208</v>
      </c>
      <c r="B776" s="61"/>
      <c r="C776" s="116"/>
      <c r="F776" s="58"/>
      <c r="G776" s="10"/>
      <c r="H776" s="59"/>
      <c r="I776" s="60">
        <f>Tableau3[[#This Row],[Stock final]]*Tableau3[[#This Row],[P.U.]]</f>
        <v>0</v>
      </c>
      <c r="J776" s="183"/>
      <c r="K776"/>
    </row>
    <row r="777" spans="1:11" ht="19.350000000000001" customHeight="1">
      <c r="A777" s="102" t="s">
        <v>208</v>
      </c>
      <c r="B777" s="61"/>
      <c r="C777" s="116"/>
      <c r="F777" s="58"/>
      <c r="G777" s="10"/>
      <c r="H777" s="59"/>
      <c r="I777" s="60">
        <f>Tableau3[[#This Row],[Stock final]]*Tableau3[[#This Row],[P.U.]]</f>
        <v>0</v>
      </c>
      <c r="J777" s="183"/>
      <c r="K777"/>
    </row>
    <row r="778" spans="1:11" ht="19.350000000000001" customHeight="1">
      <c r="A778" s="102" t="s">
        <v>208</v>
      </c>
      <c r="B778" s="61"/>
      <c r="C778" s="116"/>
      <c r="F778" s="58"/>
      <c r="G778" s="10"/>
      <c r="H778" s="59"/>
      <c r="I778" s="60">
        <f>Tableau3[[#This Row],[Stock final]]*Tableau3[[#This Row],[P.U.]]</f>
        <v>0</v>
      </c>
      <c r="J778" s="183"/>
      <c r="K778"/>
    </row>
    <row r="779" spans="1:11" ht="19.350000000000001" customHeight="1">
      <c r="A779" s="102" t="s">
        <v>208</v>
      </c>
      <c r="B779" s="62"/>
      <c r="C779" s="116"/>
      <c r="F779" s="58"/>
      <c r="G779" s="10"/>
      <c r="H779" s="59"/>
      <c r="I779" s="60">
        <f>Tableau3[[#This Row],[Stock final]]*Tableau3[[#This Row],[P.U.]]</f>
        <v>0</v>
      </c>
      <c r="J779" s="183"/>
      <c r="K779"/>
    </row>
    <row r="780" spans="1:11" ht="19.350000000000001" customHeight="1">
      <c r="A780" s="102" t="s">
        <v>208</v>
      </c>
      <c r="B780" s="62"/>
      <c r="C780" s="116"/>
      <c r="F780" s="58"/>
      <c r="G780" s="10"/>
      <c r="H780" s="59"/>
      <c r="I780" s="60">
        <f>Tableau3[[#This Row],[Stock final]]*Tableau3[[#This Row],[P.U.]]</f>
        <v>0</v>
      </c>
      <c r="J780" s="183"/>
      <c r="K780"/>
    </row>
    <row r="781" spans="1:11" ht="19.350000000000001" customHeight="1">
      <c r="A781" s="102" t="s">
        <v>208</v>
      </c>
      <c r="B781" s="62"/>
      <c r="C781" s="116"/>
      <c r="F781" s="58"/>
      <c r="G781" s="10"/>
      <c r="H781" s="59"/>
      <c r="I781" s="60">
        <f>Tableau3[[#This Row],[Stock final]]*Tableau3[[#This Row],[P.U.]]</f>
        <v>0</v>
      </c>
      <c r="J781" s="183"/>
      <c r="K781"/>
    </row>
    <row r="782" spans="1:11" ht="19.350000000000001" customHeight="1">
      <c r="A782" s="102" t="s">
        <v>208</v>
      </c>
      <c r="B782" s="62"/>
      <c r="C782" s="116"/>
      <c r="F782" s="58"/>
      <c r="G782" s="10"/>
      <c r="H782" s="59"/>
      <c r="I782" s="60">
        <f>Tableau3[[#This Row],[Stock final]]*Tableau3[[#This Row],[P.U.]]</f>
        <v>0</v>
      </c>
      <c r="J782" s="183"/>
      <c r="K782"/>
    </row>
    <row r="783" spans="1:11" ht="19.350000000000001" customHeight="1">
      <c r="A783" s="102" t="s">
        <v>208</v>
      </c>
      <c r="B783" s="89"/>
      <c r="C783" s="116"/>
      <c r="F783" s="58"/>
      <c r="G783" s="10"/>
      <c r="H783" s="59"/>
      <c r="I783" s="60">
        <f>Tableau3[[#This Row],[Stock final]]*Tableau3[[#This Row],[P.U.]]</f>
        <v>0</v>
      </c>
      <c r="J783" s="183"/>
      <c r="K783"/>
    </row>
    <row r="784" spans="1:11" ht="19.350000000000001" customHeight="1">
      <c r="A784" s="102" t="s">
        <v>208</v>
      </c>
      <c r="B784" s="102"/>
      <c r="C784" s="116"/>
      <c r="F784" s="58"/>
      <c r="G784" s="10"/>
      <c r="H784" s="59"/>
      <c r="I784" s="60">
        <f>Tableau3[[#This Row],[Stock final]]*Tableau3[[#This Row],[P.U.]]</f>
        <v>0</v>
      </c>
      <c r="J784" s="183"/>
      <c r="K784"/>
    </row>
    <row r="785" spans="1:11" ht="19.350000000000001" customHeight="1">
      <c r="A785" s="102" t="s">
        <v>208</v>
      </c>
      <c r="B785" s="71"/>
      <c r="C785" s="116"/>
      <c r="F785" s="58"/>
      <c r="G785" s="10"/>
      <c r="H785" s="59"/>
      <c r="I785" s="60">
        <f>Tableau3[[#This Row],[Stock final]]*Tableau3[[#This Row],[P.U.]]</f>
        <v>0</v>
      </c>
      <c r="J785" s="183"/>
      <c r="K785"/>
    </row>
    <row r="786" spans="1:11" ht="19.350000000000001" customHeight="1">
      <c r="A786" s="102" t="s">
        <v>208</v>
      </c>
      <c r="B786" s="71"/>
      <c r="C786" s="116"/>
      <c r="F786" s="58"/>
      <c r="G786" s="10"/>
      <c r="H786" s="59"/>
      <c r="I786" s="60">
        <f>Tableau3[[#This Row],[Stock final]]*Tableau3[[#This Row],[P.U.]]</f>
        <v>0</v>
      </c>
      <c r="J786" s="183"/>
      <c r="K786"/>
    </row>
    <row r="787" spans="1:11" ht="19.350000000000001" customHeight="1">
      <c r="A787" s="102" t="s">
        <v>208</v>
      </c>
      <c r="B787" s="89"/>
      <c r="C787" s="116"/>
      <c r="F787" s="58"/>
      <c r="G787" s="10"/>
      <c r="H787" s="59"/>
      <c r="I787" s="60">
        <f>Tableau3[[#This Row],[Stock final]]*Tableau3[[#This Row],[P.U.]]</f>
        <v>0</v>
      </c>
      <c r="J787" s="183"/>
      <c r="K787"/>
    </row>
    <row r="788" spans="1:11" ht="19.350000000000001" customHeight="1">
      <c r="A788" s="102" t="s">
        <v>208</v>
      </c>
      <c r="B788" s="89"/>
      <c r="C788" s="116"/>
      <c r="F788" s="58"/>
      <c r="G788" s="10"/>
      <c r="H788" s="59"/>
      <c r="I788" s="60">
        <f>Tableau3[[#This Row],[Stock final]]*Tableau3[[#This Row],[P.U.]]</f>
        <v>0</v>
      </c>
      <c r="J788" s="183"/>
      <c r="K788"/>
    </row>
    <row r="789" spans="1:11" ht="19.350000000000001" customHeight="1">
      <c r="A789" s="102" t="s">
        <v>208</v>
      </c>
      <c r="B789" s="89"/>
      <c r="C789" s="116"/>
      <c r="F789" s="58"/>
      <c r="G789" s="10"/>
      <c r="H789" s="59"/>
      <c r="I789" s="60">
        <f>Tableau3[[#This Row],[Stock final]]*Tableau3[[#This Row],[P.U.]]</f>
        <v>0</v>
      </c>
      <c r="J789" s="183"/>
      <c r="K789"/>
    </row>
    <row r="790" spans="1:11" ht="19.350000000000001" customHeight="1">
      <c r="A790" s="102" t="s">
        <v>208</v>
      </c>
      <c r="B790" s="89"/>
      <c r="C790" s="116"/>
      <c r="F790" s="58"/>
      <c r="G790" s="10"/>
      <c r="H790" s="59"/>
      <c r="I790" s="60">
        <f>Tableau3[[#This Row],[Stock final]]*Tableau3[[#This Row],[P.U.]]</f>
        <v>0</v>
      </c>
      <c r="J790" s="183"/>
      <c r="K790"/>
    </row>
    <row r="791" spans="1:11" ht="19.350000000000001" customHeight="1">
      <c r="A791" s="102" t="s">
        <v>208</v>
      </c>
      <c r="B791" s="89"/>
      <c r="C791" s="116"/>
      <c r="F791" s="58"/>
      <c r="G791" s="10"/>
      <c r="H791" s="59"/>
      <c r="I791" s="60">
        <f>Tableau3[[#This Row],[Stock final]]*Tableau3[[#This Row],[P.U.]]</f>
        <v>0</v>
      </c>
      <c r="J791" s="183"/>
      <c r="K791"/>
    </row>
    <row r="792" spans="1:11" ht="19.350000000000001" customHeight="1">
      <c r="A792" s="102" t="s">
        <v>209</v>
      </c>
      <c r="B792" s="89"/>
      <c r="C792" s="116"/>
      <c r="F792" s="58"/>
      <c r="G792" s="10"/>
      <c r="H792" s="59"/>
      <c r="I792" s="60">
        <f>Tableau3[[#This Row],[Stock final]]*Tableau3[[#This Row],[P.U.]]</f>
        <v>0</v>
      </c>
      <c r="J792" s="183"/>
      <c r="K792"/>
    </row>
    <row r="793" spans="1:11" ht="19.350000000000001" customHeight="1">
      <c r="A793" s="102" t="s">
        <v>209</v>
      </c>
      <c r="B793" s="102"/>
      <c r="C793" s="116"/>
      <c r="F793" s="58"/>
      <c r="G793" s="10"/>
      <c r="H793" s="59"/>
      <c r="I793" s="60">
        <f>Tableau3[[#This Row],[Stock final]]*Tableau3[[#This Row],[P.U.]]</f>
        <v>0</v>
      </c>
      <c r="J793" s="183"/>
      <c r="K793"/>
    </row>
    <row r="794" spans="1:11" ht="19.350000000000001" customHeight="1">
      <c r="A794" s="102" t="s">
        <v>209</v>
      </c>
      <c r="B794" s="102"/>
      <c r="C794" s="116"/>
      <c r="F794" s="58"/>
      <c r="G794" s="10"/>
      <c r="H794" s="59"/>
      <c r="I794" s="60">
        <f>Tableau3[[#This Row],[Stock final]]*Tableau3[[#This Row],[P.U.]]</f>
        <v>0</v>
      </c>
      <c r="J794" s="183"/>
      <c r="K794"/>
    </row>
    <row r="795" spans="1:11" ht="19.350000000000001" customHeight="1">
      <c r="A795" s="102" t="s">
        <v>209</v>
      </c>
      <c r="B795" s="89"/>
      <c r="C795" s="116"/>
      <c r="F795" s="58"/>
      <c r="G795" s="10"/>
      <c r="H795" s="59"/>
      <c r="I795" s="60">
        <f>Tableau3[[#This Row],[Stock final]]*Tableau3[[#This Row],[P.U.]]</f>
        <v>0</v>
      </c>
      <c r="J795" s="183"/>
      <c r="K795"/>
    </row>
    <row r="796" spans="1:11" ht="19.350000000000001" customHeight="1">
      <c r="A796" s="102" t="s">
        <v>209</v>
      </c>
      <c r="B796" s="102"/>
      <c r="C796" s="116"/>
      <c r="F796" s="58"/>
      <c r="G796" s="10"/>
      <c r="H796" s="59"/>
      <c r="I796" s="60">
        <f>Tableau3[[#This Row],[Stock final]]*Tableau3[[#This Row],[P.U.]]</f>
        <v>0</v>
      </c>
      <c r="J796" s="183"/>
      <c r="K796"/>
    </row>
    <row r="797" spans="1:11" ht="19.350000000000001" customHeight="1">
      <c r="A797" s="102" t="s">
        <v>209</v>
      </c>
      <c r="B797" s="89"/>
      <c r="C797" s="116"/>
      <c r="F797" s="58"/>
      <c r="G797" s="10"/>
      <c r="H797" s="59"/>
      <c r="I797" s="60">
        <f>Tableau3[[#This Row],[Stock final]]*Tableau3[[#This Row],[P.U.]]</f>
        <v>0</v>
      </c>
      <c r="J797" s="183"/>
      <c r="K797"/>
    </row>
    <row r="798" spans="1:11" ht="19.350000000000001" customHeight="1">
      <c r="A798" s="102" t="s">
        <v>209</v>
      </c>
      <c r="B798" s="89"/>
      <c r="C798" s="116"/>
      <c r="F798" s="58"/>
      <c r="G798" s="10"/>
      <c r="H798" s="59"/>
      <c r="I798" s="60">
        <f>Tableau3[[#This Row],[Stock final]]*Tableau3[[#This Row],[P.U.]]</f>
        <v>0</v>
      </c>
      <c r="J798" s="183"/>
      <c r="K798"/>
    </row>
    <row r="799" spans="1:11" ht="19.350000000000001" customHeight="1">
      <c r="A799" s="102" t="s">
        <v>209</v>
      </c>
      <c r="B799" s="89"/>
      <c r="C799" s="116"/>
      <c r="F799" s="58"/>
      <c r="G799" s="10"/>
      <c r="H799" s="59"/>
      <c r="I799" s="60">
        <f>Tableau3[[#This Row],[Stock final]]*Tableau3[[#This Row],[P.U.]]</f>
        <v>0</v>
      </c>
      <c r="J799" s="183"/>
      <c r="K799"/>
    </row>
    <row r="800" spans="1:11" ht="19.350000000000001" customHeight="1">
      <c r="A800" s="102" t="s">
        <v>209</v>
      </c>
      <c r="B800" s="102"/>
      <c r="C800" s="116"/>
      <c r="F800" s="58"/>
      <c r="G800" s="10"/>
      <c r="H800" s="59"/>
      <c r="I800" s="60">
        <f>Tableau3[[#This Row],[Stock final]]*Tableau3[[#This Row],[P.U.]]</f>
        <v>0</v>
      </c>
      <c r="J800" s="183"/>
      <c r="K800"/>
    </row>
    <row r="801" spans="1:11" ht="19.350000000000001" customHeight="1">
      <c r="A801" s="102" t="s">
        <v>209</v>
      </c>
      <c r="B801" s="89"/>
      <c r="C801" s="116"/>
      <c r="F801" s="58"/>
      <c r="G801" s="10"/>
      <c r="H801" s="59"/>
      <c r="I801" s="60">
        <f>Tableau3[[#This Row],[Stock final]]*Tableau3[[#This Row],[P.U.]]</f>
        <v>0</v>
      </c>
      <c r="J801" s="183"/>
      <c r="K801"/>
    </row>
    <row r="802" spans="1:11" ht="19.350000000000001" customHeight="1">
      <c r="A802" s="102" t="s">
        <v>209</v>
      </c>
      <c r="B802" s="89"/>
      <c r="C802" s="116"/>
      <c r="F802" s="58"/>
      <c r="G802" s="10"/>
      <c r="H802" s="59"/>
      <c r="I802" s="60">
        <f>Tableau3[[#This Row],[Stock final]]*Tableau3[[#This Row],[P.U.]]</f>
        <v>0</v>
      </c>
      <c r="J802" s="183"/>
      <c r="K802"/>
    </row>
    <row r="803" spans="1:11" ht="19.350000000000001" customHeight="1">
      <c r="A803" s="102" t="s">
        <v>209</v>
      </c>
      <c r="B803" s="102"/>
      <c r="C803" s="116"/>
      <c r="F803" s="58"/>
      <c r="G803" s="10"/>
      <c r="H803" s="59"/>
      <c r="I803" s="60">
        <f>Tableau3[[#This Row],[Stock final]]*Tableau3[[#This Row],[P.U.]]</f>
        <v>0</v>
      </c>
      <c r="J803" s="183"/>
      <c r="K803"/>
    </row>
    <row r="804" spans="1:11" ht="19.350000000000001" customHeight="1">
      <c r="A804" s="102" t="s">
        <v>209</v>
      </c>
      <c r="B804" s="102"/>
      <c r="C804" s="116"/>
      <c r="F804" s="58"/>
      <c r="G804" s="10"/>
      <c r="H804" s="59"/>
      <c r="I804" s="60">
        <f>Tableau3[[#This Row],[Stock final]]*Tableau3[[#This Row],[P.U.]]</f>
        <v>0</v>
      </c>
      <c r="J804" s="183"/>
      <c r="K804"/>
    </row>
    <row r="805" spans="1:11" ht="19.350000000000001" customHeight="1">
      <c r="A805" s="102" t="s">
        <v>209</v>
      </c>
      <c r="B805" s="89"/>
      <c r="C805" s="116"/>
      <c r="F805" s="58"/>
      <c r="G805" s="10"/>
      <c r="H805" s="90"/>
      <c r="I805" s="60">
        <f>Tableau3[[#This Row],[Stock final]]*Tableau3[[#This Row],[P.U.]]</f>
        <v>0</v>
      </c>
      <c r="J805" s="183"/>
      <c r="K805"/>
    </row>
    <row r="806" spans="1:11" ht="19.350000000000001" customHeight="1">
      <c r="A806" s="102" t="s">
        <v>209</v>
      </c>
      <c r="B806" s="89"/>
      <c r="C806" s="116"/>
      <c r="F806" s="58"/>
      <c r="G806" s="10"/>
      <c r="H806" s="90"/>
      <c r="I806" s="60">
        <f>Tableau3[[#This Row],[Stock final]]*Tableau3[[#This Row],[P.U.]]</f>
        <v>0</v>
      </c>
      <c r="J806" s="183"/>
      <c r="K806"/>
    </row>
    <row r="807" spans="1:11" ht="19.350000000000001" customHeight="1">
      <c r="A807" s="102" t="s">
        <v>209</v>
      </c>
      <c r="B807" s="89"/>
      <c r="C807" s="116"/>
      <c r="F807" s="58"/>
      <c r="G807" s="10"/>
      <c r="H807" s="90"/>
      <c r="I807" s="60">
        <f>Tableau3[[#This Row],[Stock final]]*Tableau3[[#This Row],[P.U.]]</f>
        <v>0</v>
      </c>
      <c r="J807" s="183"/>
      <c r="K807"/>
    </row>
    <row r="808" spans="1:11" ht="19.350000000000001" customHeight="1">
      <c r="A808" s="102" t="s">
        <v>209</v>
      </c>
      <c r="B808" s="89"/>
      <c r="C808" s="116"/>
      <c r="F808" s="58"/>
      <c r="G808" s="10"/>
      <c r="H808" s="90"/>
      <c r="I808" s="60">
        <f>Tableau3[[#This Row],[Stock final]]*Tableau3[[#This Row],[P.U.]]</f>
        <v>0</v>
      </c>
      <c r="J808" s="183"/>
      <c r="K808"/>
    </row>
    <row r="809" spans="1:11" ht="19.350000000000001" customHeight="1">
      <c r="A809" s="102" t="s">
        <v>209</v>
      </c>
      <c r="B809" s="89"/>
      <c r="C809" s="116"/>
      <c r="F809" s="58"/>
      <c r="G809" s="10"/>
      <c r="H809" s="90"/>
      <c r="I809" s="60">
        <f>Tableau3[[#This Row],[Stock final]]*Tableau3[[#This Row],[P.U.]]</f>
        <v>0</v>
      </c>
      <c r="J809" s="183"/>
      <c r="K809"/>
    </row>
    <row r="810" spans="1:11" ht="19.350000000000001" customHeight="1">
      <c r="A810" s="102" t="s">
        <v>209</v>
      </c>
      <c r="B810" s="89"/>
      <c r="C810" s="116"/>
      <c r="F810" s="58"/>
      <c r="G810" s="10"/>
      <c r="H810" s="90"/>
      <c r="I810" s="60">
        <f>Tableau3[[#This Row],[Stock final]]*Tableau3[[#This Row],[P.U.]]</f>
        <v>0</v>
      </c>
      <c r="J810" s="183"/>
      <c r="K810"/>
    </row>
    <row r="811" spans="1:11" ht="19.350000000000001" customHeight="1">
      <c r="A811" s="102" t="s">
        <v>209</v>
      </c>
      <c r="B811" s="89"/>
      <c r="C811" s="116"/>
      <c r="F811" s="58"/>
      <c r="G811" s="10"/>
      <c r="H811" s="90"/>
      <c r="I811" s="60">
        <f>Tableau3[[#This Row],[Stock final]]*Tableau3[[#This Row],[P.U.]]</f>
        <v>0</v>
      </c>
      <c r="J811" s="183"/>
      <c r="K811"/>
    </row>
    <row r="812" spans="1:11" ht="19.350000000000001" customHeight="1">
      <c r="A812" s="102" t="s">
        <v>209</v>
      </c>
      <c r="B812" s="89"/>
      <c r="C812" s="116"/>
      <c r="F812" s="58"/>
      <c r="G812" s="10"/>
      <c r="H812" s="90"/>
      <c r="I812" s="60">
        <f>Tableau3[[#This Row],[Stock final]]*Tableau3[[#This Row],[P.U.]]</f>
        <v>0</v>
      </c>
      <c r="J812" s="183"/>
      <c r="K812"/>
    </row>
    <row r="813" spans="1:11" ht="19.350000000000001" customHeight="1">
      <c r="A813" s="102" t="s">
        <v>209</v>
      </c>
      <c r="B813" s="89"/>
      <c r="C813" s="116"/>
      <c r="F813" s="58"/>
      <c r="G813" s="10"/>
      <c r="H813" s="90"/>
      <c r="I813" s="60">
        <f>Tableau3[[#This Row],[Stock final]]*Tableau3[[#This Row],[P.U.]]</f>
        <v>0</v>
      </c>
      <c r="J813" s="183"/>
      <c r="K813"/>
    </row>
    <row r="814" spans="1:11" ht="19.350000000000001" customHeight="1">
      <c r="A814" s="102" t="s">
        <v>209</v>
      </c>
      <c r="B814" s="89"/>
      <c r="C814" s="116"/>
      <c r="F814" s="58"/>
      <c r="G814" s="10"/>
      <c r="H814" s="90"/>
      <c r="I814" s="60">
        <f>Tableau3[[#This Row],[Stock final]]*Tableau3[[#This Row],[P.U.]]</f>
        <v>0</v>
      </c>
      <c r="J814" s="183"/>
      <c r="K814"/>
    </row>
    <row r="815" spans="1:11" ht="19.350000000000001" customHeight="1">
      <c r="A815" s="102" t="s">
        <v>209</v>
      </c>
      <c r="B815" s="89"/>
      <c r="C815" s="116"/>
      <c r="F815" s="58"/>
      <c r="G815" s="10"/>
      <c r="H815" s="90"/>
      <c r="I815" s="60">
        <f>Tableau3[[#This Row],[Stock final]]*Tableau3[[#This Row],[P.U.]]</f>
        <v>0</v>
      </c>
      <c r="J815" s="183"/>
      <c r="K815"/>
    </row>
    <row r="816" spans="1:11" ht="19.350000000000001" customHeight="1">
      <c r="A816" s="102" t="s">
        <v>209</v>
      </c>
      <c r="B816" s="89"/>
      <c r="C816" s="116"/>
      <c r="F816" s="58"/>
      <c r="G816" s="10"/>
      <c r="H816" s="90"/>
      <c r="I816" s="60">
        <f>Tableau3[[#This Row],[Stock final]]*Tableau3[[#This Row],[P.U.]]</f>
        <v>0</v>
      </c>
      <c r="J816" s="183"/>
      <c r="K816"/>
    </row>
    <row r="817" spans="1:11" ht="19.350000000000001" customHeight="1">
      <c r="A817" s="102" t="s">
        <v>205</v>
      </c>
      <c r="B817" s="102" t="s">
        <v>15</v>
      </c>
      <c r="C817" s="116"/>
      <c r="F817" s="58"/>
      <c r="G817" s="10"/>
      <c r="H817" s="90"/>
      <c r="I817" s="60">
        <f>Tableau3[[#This Row],[Stock final]]*Tableau3[[#This Row],[P.U.]]</f>
        <v>0</v>
      </c>
      <c r="J817" s="183"/>
      <c r="K817"/>
    </row>
    <row r="818" spans="1:11" ht="19.350000000000001" customHeight="1">
      <c r="A818" s="102" t="s">
        <v>205</v>
      </c>
      <c r="B818" s="102" t="s">
        <v>15</v>
      </c>
      <c r="C818" s="116"/>
      <c r="F818" s="58"/>
      <c r="G818" s="10"/>
      <c r="H818" s="90"/>
      <c r="I818" s="60">
        <f>Tableau3[[#This Row],[Stock final]]*Tableau3[[#This Row],[P.U.]]</f>
        <v>0</v>
      </c>
      <c r="J818" s="183"/>
      <c r="K818"/>
    </row>
    <row r="819" spans="1:11" ht="19.350000000000001" customHeight="1">
      <c r="A819" s="102" t="s">
        <v>205</v>
      </c>
      <c r="B819" s="102" t="s">
        <v>15</v>
      </c>
      <c r="C819" s="116"/>
      <c r="F819" s="58"/>
      <c r="G819" s="10"/>
      <c r="H819" s="90"/>
      <c r="I819" s="60">
        <f>Tableau3[[#This Row],[Stock final]]*Tableau3[[#This Row],[P.U.]]</f>
        <v>0</v>
      </c>
      <c r="J819" s="183"/>
      <c r="K819"/>
    </row>
    <row r="820" spans="1:11" ht="19.350000000000001" customHeight="1">
      <c r="A820" s="102" t="s">
        <v>205</v>
      </c>
      <c r="B820" s="102" t="s">
        <v>15</v>
      </c>
      <c r="C820" s="116"/>
      <c r="F820" s="58"/>
      <c r="G820" s="10"/>
      <c r="H820" s="90"/>
      <c r="I820" s="60">
        <f>Tableau3[[#This Row],[Stock final]]*Tableau3[[#This Row],[P.U.]]</f>
        <v>0</v>
      </c>
      <c r="J820" s="183"/>
      <c r="K820"/>
    </row>
    <row r="821" spans="1:11" ht="19.350000000000001" customHeight="1">
      <c r="A821" s="102" t="s">
        <v>205</v>
      </c>
      <c r="B821" s="102" t="s">
        <v>15</v>
      </c>
      <c r="C821" s="116"/>
      <c r="F821" s="58"/>
      <c r="G821" s="10"/>
      <c r="H821" s="90"/>
      <c r="I821" s="60">
        <f>Tableau3[[#This Row],[Stock final]]*Tableau3[[#This Row],[P.U.]]</f>
        <v>0</v>
      </c>
      <c r="J821" s="183"/>
      <c r="K821"/>
    </row>
    <row r="822" spans="1:11" ht="19.350000000000001" customHeight="1">
      <c r="A822" s="102" t="s">
        <v>205</v>
      </c>
      <c r="B822" s="102" t="s">
        <v>15</v>
      </c>
      <c r="C822" s="116"/>
      <c r="F822" s="58"/>
      <c r="G822" s="10"/>
      <c r="H822" s="90"/>
      <c r="I822" s="60">
        <f>Tableau3[[#This Row],[Stock final]]*Tableau3[[#This Row],[P.U.]]</f>
        <v>0</v>
      </c>
      <c r="J822" s="183"/>
      <c r="K822"/>
    </row>
    <row r="823" spans="1:11" ht="19.350000000000001" customHeight="1">
      <c r="A823" s="102" t="s">
        <v>205</v>
      </c>
      <c r="B823" s="102" t="s">
        <v>15</v>
      </c>
      <c r="C823" s="106"/>
      <c r="F823" s="58"/>
      <c r="G823" s="10"/>
      <c r="H823" s="90"/>
      <c r="I823" s="60">
        <f>Tableau3[[#This Row],[Stock final]]*Tableau3[[#This Row],[P.U.]]</f>
        <v>0</v>
      </c>
      <c r="J823" s="183"/>
      <c r="K823"/>
    </row>
    <row r="824" spans="1:11" ht="19.350000000000001" customHeight="1">
      <c r="A824" s="102" t="s">
        <v>205</v>
      </c>
      <c r="B824" s="102" t="s">
        <v>15</v>
      </c>
      <c r="C824" s="106"/>
      <c r="F824" s="58"/>
      <c r="G824" s="10"/>
      <c r="H824" s="90"/>
      <c r="I824" s="60">
        <f>Tableau3[[#This Row],[Stock final]]*Tableau3[[#This Row],[P.U.]]</f>
        <v>0</v>
      </c>
      <c r="J824" s="183"/>
      <c r="K824"/>
    </row>
    <row r="825" spans="1:11" ht="19.350000000000001" customHeight="1">
      <c r="A825" s="102" t="s">
        <v>205</v>
      </c>
      <c r="B825" s="102" t="s">
        <v>15</v>
      </c>
      <c r="C825" s="116"/>
      <c r="F825" s="58"/>
      <c r="G825" s="10"/>
      <c r="H825" s="90"/>
      <c r="I825" s="60">
        <f>Tableau3[[#This Row],[Stock final]]*Tableau3[[#This Row],[P.U.]]</f>
        <v>0</v>
      </c>
      <c r="J825" s="183"/>
      <c r="K825"/>
    </row>
    <row r="826" spans="1:11" ht="19.350000000000001" customHeight="1">
      <c r="A826" s="102" t="s">
        <v>205</v>
      </c>
      <c r="B826" s="102" t="s">
        <v>15</v>
      </c>
      <c r="C826" s="116"/>
      <c r="F826" s="58"/>
      <c r="G826" s="10"/>
      <c r="H826" s="90"/>
      <c r="I826" s="60">
        <f>Tableau3[[#This Row],[Stock final]]*Tableau3[[#This Row],[P.U.]]</f>
        <v>0</v>
      </c>
      <c r="J826" s="183"/>
      <c r="K826"/>
    </row>
    <row r="827" spans="1:11" ht="19.350000000000001" customHeight="1">
      <c r="A827" s="102" t="s">
        <v>205</v>
      </c>
      <c r="B827" s="102" t="s">
        <v>15</v>
      </c>
      <c r="C827" s="116"/>
      <c r="F827" s="58"/>
      <c r="G827" s="10"/>
      <c r="H827" s="90"/>
      <c r="I827" s="60">
        <f>Tableau3[[#This Row],[Stock final]]*Tableau3[[#This Row],[P.U.]]</f>
        <v>0</v>
      </c>
      <c r="J827" s="183"/>
      <c r="K827"/>
    </row>
    <row r="828" spans="1:11" ht="19.350000000000001" customHeight="1">
      <c r="A828" s="105" t="s">
        <v>205</v>
      </c>
      <c r="B828" s="105" t="s">
        <v>15</v>
      </c>
      <c r="C828" s="116"/>
      <c r="F828" s="58"/>
      <c r="G828" s="10"/>
      <c r="H828" s="59"/>
      <c r="I828" s="60">
        <f>Tableau3[[#This Row],[Stock final]]*Tableau3[[#This Row],[P.U.]]</f>
        <v>0</v>
      </c>
      <c r="J828" s="183"/>
      <c r="K828"/>
    </row>
    <row r="829" spans="1:11" ht="19.350000000000001" customHeight="1">
      <c r="A829" s="102" t="s">
        <v>205</v>
      </c>
      <c r="B829" s="102" t="s">
        <v>15</v>
      </c>
      <c r="C829" s="116"/>
      <c r="F829" s="58"/>
      <c r="G829" s="10"/>
      <c r="H829" s="59"/>
      <c r="I829" s="60">
        <f>Tableau3[[#This Row],[Stock final]]*Tableau3[[#This Row],[P.U.]]</f>
        <v>0</v>
      </c>
      <c r="J829" s="183"/>
      <c r="K829"/>
    </row>
    <row r="830" spans="1:11" ht="19.350000000000001" customHeight="1">
      <c r="A830" s="102" t="s">
        <v>205</v>
      </c>
      <c r="B830" s="102" t="s">
        <v>15</v>
      </c>
      <c r="C830" s="116"/>
      <c r="F830" s="58"/>
      <c r="G830" s="10"/>
      <c r="H830" s="59"/>
      <c r="I830" s="60">
        <f>Tableau3[[#This Row],[Stock final]]*Tableau3[[#This Row],[P.U.]]</f>
        <v>0</v>
      </c>
      <c r="J830" s="183"/>
      <c r="K830"/>
    </row>
    <row r="831" spans="1:11" ht="19.350000000000001" customHeight="1">
      <c r="A831" s="102" t="s">
        <v>205</v>
      </c>
      <c r="B831" s="102" t="s">
        <v>15</v>
      </c>
      <c r="C831" s="116"/>
      <c r="F831" s="58"/>
      <c r="G831" s="10"/>
      <c r="H831" s="59"/>
      <c r="I831" s="60">
        <f>Tableau3[[#This Row],[Stock final]]*Tableau3[[#This Row],[P.U.]]</f>
        <v>0</v>
      </c>
      <c r="J831" s="183"/>
      <c r="K831"/>
    </row>
    <row r="832" spans="1:11" ht="19.350000000000001" customHeight="1">
      <c r="A832" s="105" t="s">
        <v>205</v>
      </c>
      <c r="B832" s="105" t="s">
        <v>15</v>
      </c>
      <c r="C832" s="116"/>
      <c r="F832" s="58"/>
      <c r="G832" s="10"/>
      <c r="H832" s="59"/>
      <c r="I832" s="60">
        <f>Tableau3[[#This Row],[Stock final]]*Tableau3[[#This Row],[P.U.]]</f>
        <v>0</v>
      </c>
      <c r="J832" s="183"/>
      <c r="K832"/>
    </row>
    <row r="833" spans="1:11" ht="19.350000000000001" customHeight="1">
      <c r="A833" s="102" t="s">
        <v>205</v>
      </c>
      <c r="B833" s="102" t="s">
        <v>15</v>
      </c>
      <c r="C833" s="116"/>
      <c r="F833" s="58"/>
      <c r="G833" s="10"/>
      <c r="H833" s="59"/>
      <c r="I833" s="60">
        <f>Tableau3[[#This Row],[Stock final]]*Tableau3[[#This Row],[P.U.]]</f>
        <v>0</v>
      </c>
      <c r="J833" s="183"/>
      <c r="K833"/>
    </row>
    <row r="834" spans="1:11" ht="19.350000000000001" customHeight="1">
      <c r="A834" s="102" t="s">
        <v>205</v>
      </c>
      <c r="B834" s="102" t="s">
        <v>15</v>
      </c>
      <c r="C834" s="116"/>
      <c r="F834" s="58"/>
      <c r="G834" s="10"/>
      <c r="H834" s="59"/>
      <c r="I834" s="60">
        <f>Tableau3[[#This Row],[Stock final]]*Tableau3[[#This Row],[P.U.]]</f>
        <v>0</v>
      </c>
      <c r="J834" s="183"/>
      <c r="K834"/>
    </row>
    <row r="835" spans="1:11" ht="19.350000000000001" customHeight="1">
      <c r="A835" s="102" t="s">
        <v>205</v>
      </c>
      <c r="B835" s="102" t="s">
        <v>15</v>
      </c>
      <c r="C835" s="116"/>
      <c r="F835" s="58"/>
      <c r="G835" s="10"/>
      <c r="H835" s="59"/>
      <c r="I835" s="60">
        <f>Tableau3[[#This Row],[Stock final]]*Tableau3[[#This Row],[P.U.]]</f>
        <v>0</v>
      </c>
      <c r="J835" s="183"/>
      <c r="K835"/>
    </row>
    <row r="836" spans="1:11" ht="19.350000000000001" customHeight="1">
      <c r="A836" s="102" t="s">
        <v>205</v>
      </c>
      <c r="B836" s="102" t="s">
        <v>15</v>
      </c>
      <c r="C836" s="116"/>
      <c r="F836" s="58"/>
      <c r="G836" s="10"/>
      <c r="H836" s="59"/>
      <c r="I836" s="60">
        <f>Tableau3[[#This Row],[Stock final]]*Tableau3[[#This Row],[P.U.]]</f>
        <v>0</v>
      </c>
      <c r="J836" s="183"/>
      <c r="K836"/>
    </row>
    <row r="837" spans="1:11" ht="19.350000000000001" customHeight="1">
      <c r="A837" s="102" t="s">
        <v>205</v>
      </c>
      <c r="B837" s="102" t="s">
        <v>15</v>
      </c>
      <c r="C837" s="116"/>
      <c r="F837" s="58"/>
      <c r="G837" s="10"/>
      <c r="H837" s="59"/>
      <c r="I837" s="60">
        <f>Tableau3[[#This Row],[Stock final]]*Tableau3[[#This Row],[P.U.]]</f>
        <v>0</v>
      </c>
      <c r="J837" s="183"/>
      <c r="K837"/>
    </row>
    <row r="838" spans="1:11" ht="19.350000000000001" customHeight="1">
      <c r="A838" s="102" t="s">
        <v>205</v>
      </c>
      <c r="B838" s="102" t="s">
        <v>15</v>
      </c>
      <c r="C838" s="116"/>
      <c r="F838" s="58"/>
      <c r="G838" s="10"/>
      <c r="H838" s="59"/>
      <c r="I838" s="60">
        <f>Tableau3[[#This Row],[Stock final]]*Tableau3[[#This Row],[P.U.]]</f>
        <v>0</v>
      </c>
      <c r="J838" s="183"/>
      <c r="K838"/>
    </row>
    <row r="839" spans="1:11" ht="19.350000000000001" customHeight="1">
      <c r="A839" s="102" t="s">
        <v>205</v>
      </c>
      <c r="B839" s="102" t="s">
        <v>15</v>
      </c>
      <c r="C839" s="116"/>
      <c r="F839" s="58"/>
      <c r="G839" s="10"/>
      <c r="H839" s="59"/>
      <c r="I839" s="60">
        <f>Tableau3[[#This Row],[Stock final]]*Tableau3[[#This Row],[P.U.]]</f>
        <v>0</v>
      </c>
      <c r="J839" s="183"/>
      <c r="K839"/>
    </row>
    <row r="840" spans="1:11" ht="19.350000000000001" customHeight="1">
      <c r="A840" s="102" t="s">
        <v>205</v>
      </c>
      <c r="B840" s="102" t="s">
        <v>15</v>
      </c>
      <c r="C840" s="116"/>
      <c r="F840" s="58"/>
      <c r="G840" s="10"/>
      <c r="H840" s="59"/>
      <c r="I840" s="60">
        <f>Tableau3[[#This Row],[Stock final]]*Tableau3[[#This Row],[P.U.]]</f>
        <v>0</v>
      </c>
      <c r="J840" s="183"/>
      <c r="K840"/>
    </row>
    <row r="841" spans="1:11" ht="19.350000000000001" customHeight="1">
      <c r="A841" s="102" t="s">
        <v>205</v>
      </c>
      <c r="B841" s="102" t="s">
        <v>15</v>
      </c>
      <c r="C841" s="116"/>
      <c r="F841" s="58"/>
      <c r="G841" s="10"/>
      <c r="H841" s="59"/>
      <c r="I841" s="60">
        <f>Tableau3[[#This Row],[Stock final]]*Tableau3[[#This Row],[P.U.]]</f>
        <v>0</v>
      </c>
      <c r="J841" s="183"/>
      <c r="K841"/>
    </row>
    <row r="842" spans="1:11" ht="19.350000000000001" customHeight="1">
      <c r="A842" s="102" t="s">
        <v>205</v>
      </c>
      <c r="B842" s="102" t="s">
        <v>15</v>
      </c>
      <c r="C842" s="116"/>
      <c r="F842" s="58"/>
      <c r="G842" s="10"/>
      <c r="H842" s="59"/>
      <c r="I842" s="60">
        <f>Tableau3[[#This Row],[Stock final]]*Tableau3[[#This Row],[P.U.]]</f>
        <v>0</v>
      </c>
      <c r="J842" s="183"/>
      <c r="K842"/>
    </row>
    <row r="843" spans="1:11" ht="19.350000000000001" customHeight="1">
      <c r="A843" s="102"/>
      <c r="B843" s="102"/>
      <c r="C843" s="116"/>
      <c r="F843" s="107"/>
      <c r="G843" s="10"/>
      <c r="H843" s="103"/>
      <c r="I843" s="60">
        <f>Tableau3[[#This Row],[Stock final]]*Tableau3[[#This Row],[P.U.]]</f>
        <v>0</v>
      </c>
      <c r="J843" s="183"/>
      <c r="K843"/>
    </row>
    <row r="844" spans="1:11" ht="19.350000000000001" customHeight="1">
      <c r="A844" s="102"/>
      <c r="B844" s="102"/>
      <c r="C844" s="116"/>
      <c r="F844" s="107"/>
      <c r="G844" s="10"/>
      <c r="H844" s="103"/>
      <c r="I844" s="60">
        <f>Tableau3[[#This Row],[Stock final]]*Tableau3[[#This Row],[P.U.]]</f>
        <v>0</v>
      </c>
      <c r="J844" s="183"/>
      <c r="K844"/>
    </row>
    <row r="845" spans="1:11" ht="19.350000000000001" customHeight="1">
      <c r="A845" s="102"/>
      <c r="B845" s="102"/>
      <c r="C845" s="116"/>
      <c r="F845" s="107"/>
      <c r="G845" s="10"/>
      <c r="H845" s="103"/>
      <c r="I845" s="60">
        <f>Tableau3[[#This Row],[Stock final]]*Tableau3[[#This Row],[P.U.]]</f>
        <v>0</v>
      </c>
      <c r="J845" s="183"/>
      <c r="K845"/>
    </row>
    <row r="846" spans="1:11" ht="19.350000000000001" customHeight="1">
      <c r="A846" s="102"/>
      <c r="B846" s="102"/>
      <c r="C846" s="116"/>
      <c r="F846" s="107"/>
      <c r="G846" s="10"/>
      <c r="H846" s="103"/>
      <c r="I846" s="60">
        <f>Tableau3[[#This Row],[Stock final]]*Tableau3[[#This Row],[P.U.]]</f>
        <v>0</v>
      </c>
      <c r="J846" s="183"/>
      <c r="K846"/>
    </row>
    <row r="847" spans="1:11" ht="19.350000000000001" customHeight="1">
      <c r="A847" s="102"/>
      <c r="B847" s="102"/>
      <c r="C847" s="116"/>
      <c r="F847" s="107"/>
      <c r="G847" s="10"/>
      <c r="H847" s="103"/>
      <c r="I847" s="60">
        <f>Tableau3[[#This Row],[Stock final]]*Tableau3[[#This Row],[P.U.]]</f>
        <v>0</v>
      </c>
      <c r="J847" s="183"/>
      <c r="K847"/>
    </row>
    <row r="848" spans="1:11" ht="19.350000000000001" customHeight="1">
      <c r="A848" s="102"/>
      <c r="B848" s="102"/>
      <c r="C848" s="116"/>
      <c r="F848" s="107"/>
      <c r="G848" s="10"/>
      <c r="H848" s="103"/>
      <c r="I848" s="60">
        <f>Tableau3[[#This Row],[Stock final]]*Tableau3[[#This Row],[P.U.]]</f>
        <v>0</v>
      </c>
      <c r="J848" s="183"/>
      <c r="K848"/>
    </row>
    <row r="849" spans="1:11" ht="19.350000000000001" customHeight="1">
      <c r="A849" s="102"/>
      <c r="B849" s="102"/>
      <c r="C849" s="116"/>
      <c r="F849" s="107"/>
      <c r="G849" s="10"/>
      <c r="H849" s="103"/>
      <c r="I849" s="60">
        <f>Tableau3[[#This Row],[Stock final]]*Tableau3[[#This Row],[P.U.]]</f>
        <v>0</v>
      </c>
      <c r="J849" s="183"/>
      <c r="K849"/>
    </row>
    <row r="850" spans="1:11" ht="19.350000000000001" customHeight="1">
      <c r="A850" s="102"/>
      <c r="B850" s="102"/>
      <c r="C850" s="116"/>
      <c r="F850" s="107"/>
      <c r="G850" s="10"/>
      <c r="H850" s="103"/>
      <c r="I850" s="60">
        <f>Tableau3[[#This Row],[Stock final]]*Tableau3[[#This Row],[P.U.]]</f>
        <v>0</v>
      </c>
      <c r="J850" s="183"/>
      <c r="K850"/>
    </row>
    <row r="851" spans="1:11" ht="19.350000000000001" customHeight="1">
      <c r="A851" s="102"/>
      <c r="B851" s="102"/>
      <c r="C851" s="116"/>
      <c r="F851" s="107"/>
      <c r="G851" s="10"/>
      <c r="H851" s="103"/>
      <c r="I851" s="60">
        <f>Tableau3[[#This Row],[Stock final]]*Tableau3[[#This Row],[P.U.]]</f>
        <v>0</v>
      </c>
      <c r="J851" s="183"/>
      <c r="K851"/>
    </row>
    <row r="852" spans="1:11" ht="19.350000000000001" customHeight="1">
      <c r="A852" s="102"/>
      <c r="B852" s="102"/>
      <c r="C852" s="116"/>
      <c r="F852" s="107"/>
      <c r="G852" s="10"/>
      <c r="H852" s="103"/>
      <c r="I852" s="60">
        <f>Tableau3[[#This Row],[Stock final]]*Tableau3[[#This Row],[P.U.]]</f>
        <v>0</v>
      </c>
      <c r="J852" s="183"/>
      <c r="K852"/>
    </row>
    <row r="853" spans="1:11" ht="19.350000000000001" customHeight="1">
      <c r="A853" s="102"/>
      <c r="B853" s="102"/>
      <c r="C853" s="116"/>
      <c r="F853" s="107"/>
      <c r="G853" s="10"/>
      <c r="H853" s="103"/>
      <c r="I853" s="60">
        <f>Tableau3[[#This Row],[Stock final]]*Tableau3[[#This Row],[P.U.]]</f>
        <v>0</v>
      </c>
      <c r="J853" s="183"/>
      <c r="K853"/>
    </row>
    <row r="854" spans="1:11" ht="19.350000000000001" customHeight="1">
      <c r="A854" s="102"/>
      <c r="B854" s="102"/>
      <c r="C854" s="116"/>
      <c r="F854" s="107"/>
      <c r="G854" s="10"/>
      <c r="H854" s="103"/>
      <c r="I854" s="60">
        <f>Tableau3[[#This Row],[Stock final]]*Tableau3[[#This Row],[P.U.]]</f>
        <v>0</v>
      </c>
      <c r="J854" s="183"/>
      <c r="K854"/>
    </row>
    <row r="855" spans="1:11" ht="19.350000000000001" customHeight="1">
      <c r="A855" s="102"/>
      <c r="B855" s="102"/>
      <c r="C855" s="116"/>
      <c r="F855" s="107"/>
      <c r="G855" s="10"/>
      <c r="H855" s="103"/>
      <c r="I855" s="60">
        <f>Tableau3[[#This Row],[Stock final]]*Tableau3[[#This Row],[P.U.]]</f>
        <v>0</v>
      </c>
      <c r="J855" s="183"/>
      <c r="K855"/>
    </row>
    <row r="856" spans="1:11" ht="19.350000000000001" customHeight="1">
      <c r="A856" s="102"/>
      <c r="B856" s="102"/>
      <c r="C856" s="116"/>
      <c r="F856" s="107"/>
      <c r="G856" s="10"/>
      <c r="H856" s="103"/>
      <c r="I856" s="60">
        <f>Tableau3[[#This Row],[Stock final]]*Tableau3[[#This Row],[P.U.]]</f>
        <v>0</v>
      </c>
      <c r="J856" s="183"/>
      <c r="K856"/>
    </row>
    <row r="857" spans="1:11" ht="19.350000000000001" customHeight="1">
      <c r="A857" s="102" t="s">
        <v>210</v>
      </c>
      <c r="B857" s="102" t="s">
        <v>15</v>
      </c>
      <c r="C857" s="116" t="s">
        <v>1496</v>
      </c>
      <c r="D857" s="11" t="s">
        <v>1586</v>
      </c>
      <c r="F857" s="58"/>
      <c r="G857" s="10">
        <v>1</v>
      </c>
      <c r="H857" s="103">
        <v>1787.45</v>
      </c>
      <c r="I857" s="60">
        <f>Tableau3[[#This Row],[Stock final]]*Tableau3[[#This Row],[P.U.]]</f>
        <v>1787.45</v>
      </c>
      <c r="J857" s="183"/>
      <c r="K857"/>
    </row>
    <row r="858" spans="1:11" ht="19.350000000000001" customHeight="1">
      <c r="A858" s="102" t="s">
        <v>210</v>
      </c>
      <c r="B858" s="102" t="s">
        <v>15</v>
      </c>
      <c r="C858" s="116" t="s">
        <v>1497</v>
      </c>
      <c r="D858" s="11" t="s">
        <v>1498</v>
      </c>
      <c r="F858" s="107"/>
      <c r="G858" s="10">
        <v>1</v>
      </c>
      <c r="H858" s="103">
        <v>198.41</v>
      </c>
      <c r="I858" s="60">
        <f>Tableau3[[#This Row],[Stock final]]*Tableau3[[#This Row],[P.U.]]</f>
        <v>198.41</v>
      </c>
      <c r="J858" s="183"/>
      <c r="K858"/>
    </row>
    <row r="859" spans="1:11" ht="19.350000000000001" customHeight="1">
      <c r="A859" s="102" t="s">
        <v>210</v>
      </c>
      <c r="B859" s="102" t="s">
        <v>15</v>
      </c>
      <c r="C859" s="116" t="s">
        <v>1215</v>
      </c>
      <c r="D859" s="11" t="s">
        <v>1499</v>
      </c>
      <c r="F859" s="107"/>
      <c r="G859" s="10">
        <v>1</v>
      </c>
      <c r="H859" s="103">
        <v>93.23</v>
      </c>
      <c r="I859" s="60">
        <f>Tableau3[[#This Row],[Stock final]]*Tableau3[[#This Row],[P.U.]]</f>
        <v>93.23</v>
      </c>
      <c r="J859" s="183"/>
      <c r="K859"/>
    </row>
    <row r="860" spans="1:11" ht="19.350000000000001" customHeight="1">
      <c r="A860" s="102" t="s">
        <v>210</v>
      </c>
      <c r="B860" s="102" t="s">
        <v>15</v>
      </c>
      <c r="C860" s="116" t="s">
        <v>1216</v>
      </c>
      <c r="D860" s="11" t="s">
        <v>1500</v>
      </c>
      <c r="F860" s="107"/>
      <c r="G860" s="10">
        <v>1</v>
      </c>
      <c r="H860" s="103">
        <v>504.94</v>
      </c>
      <c r="I860" s="60">
        <f>Tableau3[[#This Row],[Stock final]]*Tableau3[[#This Row],[P.U.]]</f>
        <v>504.94</v>
      </c>
      <c r="J860" s="183"/>
      <c r="K860"/>
    </row>
    <row r="861" spans="1:11" ht="19.350000000000001" customHeight="1">
      <c r="A861" s="102" t="s">
        <v>210</v>
      </c>
      <c r="B861" s="102" t="s">
        <v>15</v>
      </c>
      <c r="C861" s="116"/>
      <c r="F861" s="107"/>
      <c r="G861" s="10"/>
      <c r="H861" s="103"/>
      <c r="I861" s="60">
        <f>Tableau3[[#This Row],[Stock final]]*Tableau3[[#This Row],[P.U.]]</f>
        <v>0</v>
      </c>
      <c r="J861" s="183"/>
      <c r="K861"/>
    </row>
    <row r="862" spans="1:11" ht="19.350000000000001" customHeight="1">
      <c r="A862" s="102" t="s">
        <v>210</v>
      </c>
      <c r="B862" s="102" t="s">
        <v>15</v>
      </c>
      <c r="C862" s="116" t="s">
        <v>1217</v>
      </c>
      <c r="D862" s="11" t="s">
        <v>1501</v>
      </c>
      <c r="F862" s="107"/>
      <c r="G862" s="10">
        <v>1</v>
      </c>
      <c r="H862" s="103">
        <v>151.86000000000001</v>
      </c>
      <c r="I862" s="60">
        <f>Tableau3[[#This Row],[Stock final]]*Tableau3[[#This Row],[P.U.]]</f>
        <v>151.86000000000001</v>
      </c>
      <c r="J862" s="183"/>
      <c r="K862"/>
    </row>
    <row r="863" spans="1:11" ht="19.350000000000001" customHeight="1">
      <c r="A863" s="102" t="s">
        <v>210</v>
      </c>
      <c r="B863" s="102" t="s">
        <v>15</v>
      </c>
      <c r="C863" s="116" t="s">
        <v>1218</v>
      </c>
      <c r="D863" s="11" t="s">
        <v>1502</v>
      </c>
      <c r="F863" s="107"/>
      <c r="G863" s="10">
        <v>1</v>
      </c>
      <c r="H863" s="103">
        <v>256.70999999999998</v>
      </c>
      <c r="I863" s="60">
        <f>Tableau3[[#This Row],[Stock final]]*Tableau3[[#This Row],[P.U.]]</f>
        <v>256.70999999999998</v>
      </c>
      <c r="J863" s="183"/>
      <c r="K863"/>
    </row>
    <row r="864" spans="1:11" ht="19.350000000000001" customHeight="1">
      <c r="A864" s="102" t="s">
        <v>210</v>
      </c>
      <c r="B864" s="102" t="s">
        <v>15</v>
      </c>
      <c r="C864" s="116" t="s">
        <v>1219</v>
      </c>
      <c r="D864" s="11" t="s">
        <v>1503</v>
      </c>
      <c r="F864" s="107"/>
      <c r="G864" s="10">
        <v>1</v>
      </c>
      <c r="H864" s="103">
        <v>125.42</v>
      </c>
      <c r="I864" s="60">
        <f>Tableau3[[#This Row],[Stock final]]*Tableau3[[#This Row],[P.U.]]</f>
        <v>125.42</v>
      </c>
      <c r="J864" s="183"/>
      <c r="K864"/>
    </row>
    <row r="865" spans="1:11" ht="19.350000000000001" customHeight="1">
      <c r="A865" s="102" t="s">
        <v>210</v>
      </c>
      <c r="B865" s="102" t="s">
        <v>15</v>
      </c>
      <c r="C865" s="116" t="s">
        <v>1220</v>
      </c>
      <c r="D865" s="11" t="s">
        <v>1504</v>
      </c>
      <c r="F865" s="107"/>
      <c r="G865" s="10">
        <v>1</v>
      </c>
      <c r="H865" s="103">
        <v>145.36000000000001</v>
      </c>
      <c r="I865" s="60">
        <f>Tableau3[[#This Row],[Stock final]]*Tableau3[[#This Row],[P.U.]]</f>
        <v>145.36000000000001</v>
      </c>
      <c r="J865" s="183"/>
      <c r="K865"/>
    </row>
    <row r="866" spans="1:11" ht="19.350000000000001" customHeight="1">
      <c r="A866" s="109" t="s">
        <v>210</v>
      </c>
      <c r="B866" s="102"/>
      <c r="C866" s="116"/>
      <c r="F866" s="58"/>
      <c r="G866" s="10"/>
      <c r="H866" s="59"/>
      <c r="I866" s="60">
        <f>Tableau3[[#This Row],[Stock final]]*Tableau3[[#This Row],[P.U.]]</f>
        <v>0</v>
      </c>
      <c r="J866" s="183"/>
      <c r="K866"/>
    </row>
    <row r="867" spans="1:11" ht="19.350000000000001" customHeight="1">
      <c r="A867" s="102" t="s">
        <v>210</v>
      </c>
      <c r="B867" s="102" t="s">
        <v>15</v>
      </c>
      <c r="C867" s="116" t="s">
        <v>211</v>
      </c>
      <c r="D867" s="11" t="s">
        <v>212</v>
      </c>
      <c r="F867" s="58"/>
      <c r="G867" s="10">
        <v>6</v>
      </c>
      <c r="H867" s="59">
        <v>68</v>
      </c>
      <c r="I867" s="60">
        <f>Tableau3[[#This Row],[Stock final]]*Tableau3[[#This Row],[P.U.]]</f>
        <v>408</v>
      </c>
      <c r="J867" s="183"/>
      <c r="K867"/>
    </row>
    <row r="868" spans="1:11" ht="19.350000000000001" customHeight="1">
      <c r="A868" s="102" t="s">
        <v>210</v>
      </c>
      <c r="B868" s="102" t="s">
        <v>15</v>
      </c>
      <c r="C868" s="116" t="s">
        <v>213</v>
      </c>
      <c r="D868" s="11" t="s">
        <v>215</v>
      </c>
      <c r="F868" s="58"/>
      <c r="G868" s="10">
        <v>3</v>
      </c>
      <c r="H868" s="59">
        <v>84.98</v>
      </c>
      <c r="I868" s="60">
        <f>Tableau3[[#This Row],[Stock final]]*Tableau3[[#This Row],[P.U.]]</f>
        <v>254.94</v>
      </c>
      <c r="J868" s="183"/>
      <c r="K868"/>
    </row>
    <row r="869" spans="1:11" ht="19.350000000000001" customHeight="1">
      <c r="A869" s="102" t="s">
        <v>210</v>
      </c>
      <c r="B869" s="102" t="s">
        <v>15</v>
      </c>
      <c r="C869" s="116" t="s">
        <v>214</v>
      </c>
      <c r="D869" s="11" t="s">
        <v>212</v>
      </c>
      <c r="F869" s="58"/>
      <c r="G869" s="10">
        <v>1</v>
      </c>
      <c r="H869" s="59">
        <v>69</v>
      </c>
      <c r="I869" s="60">
        <f>Tableau3[[#This Row],[Stock final]]*Tableau3[[#This Row],[P.U.]]</f>
        <v>69</v>
      </c>
      <c r="J869" s="183"/>
      <c r="K869"/>
    </row>
    <row r="870" spans="1:11" ht="19.350000000000001" customHeight="1">
      <c r="A870" s="102" t="s">
        <v>210</v>
      </c>
      <c r="B870" s="102" t="s">
        <v>15</v>
      </c>
      <c r="C870" s="116" t="s">
        <v>216</v>
      </c>
      <c r="D870" s="11" t="s">
        <v>215</v>
      </c>
      <c r="F870" s="58"/>
      <c r="G870" s="10">
        <v>1</v>
      </c>
      <c r="H870" s="59">
        <v>85.01</v>
      </c>
      <c r="I870" s="60">
        <f>Tableau3[[#This Row],[Stock final]]*Tableau3[[#This Row],[P.U.]]</f>
        <v>85.01</v>
      </c>
      <c r="J870" s="183"/>
      <c r="K870"/>
    </row>
    <row r="871" spans="1:11" ht="19.350000000000001" customHeight="1">
      <c r="A871" s="102" t="s">
        <v>210</v>
      </c>
      <c r="B871" s="102" t="s">
        <v>15</v>
      </c>
      <c r="C871" s="116" t="s">
        <v>217</v>
      </c>
      <c r="D871" s="11" t="s">
        <v>218</v>
      </c>
      <c r="F871" s="58"/>
      <c r="G871" s="10">
        <v>2</v>
      </c>
      <c r="H871" s="59">
        <v>44.99</v>
      </c>
      <c r="I871" s="60">
        <f>Tableau3[[#This Row],[Stock final]]*Tableau3[[#This Row],[P.U.]]</f>
        <v>89.98</v>
      </c>
      <c r="J871" s="183"/>
      <c r="K871"/>
    </row>
    <row r="872" spans="1:11" ht="19.350000000000001" customHeight="1">
      <c r="A872" s="102" t="s">
        <v>210</v>
      </c>
      <c r="B872" s="102" t="s">
        <v>15</v>
      </c>
      <c r="C872" s="116" t="s">
        <v>219</v>
      </c>
      <c r="D872" s="11" t="s">
        <v>220</v>
      </c>
      <c r="F872" s="58"/>
      <c r="G872" s="10">
        <v>6</v>
      </c>
      <c r="H872" s="59">
        <v>58.93</v>
      </c>
      <c r="I872" s="60">
        <f>Tableau3[[#This Row],[Stock final]]*Tableau3[[#This Row],[P.U.]]</f>
        <v>353.58</v>
      </c>
      <c r="J872" s="183"/>
      <c r="K872"/>
    </row>
    <row r="873" spans="1:11" ht="19.350000000000001" customHeight="1">
      <c r="A873" s="102" t="s">
        <v>210</v>
      </c>
      <c r="B873" s="102" t="s">
        <v>15</v>
      </c>
      <c r="C873" s="116" t="s">
        <v>226</v>
      </c>
      <c r="D873" s="11" t="s">
        <v>227</v>
      </c>
      <c r="F873" s="58"/>
      <c r="G873" s="10">
        <v>1</v>
      </c>
      <c r="H873" s="103">
        <v>22.41</v>
      </c>
      <c r="I873" s="60">
        <f>Tableau3[[#This Row],[Stock final]]*Tableau3[[#This Row],[P.U.]]</f>
        <v>22.41</v>
      </c>
      <c r="J873" s="183"/>
      <c r="K873"/>
    </row>
    <row r="874" spans="1:11" ht="19.350000000000001" customHeight="1">
      <c r="A874" s="102" t="s">
        <v>210</v>
      </c>
      <c r="B874" s="102" t="s">
        <v>15</v>
      </c>
      <c r="C874" s="116" t="s">
        <v>117</v>
      </c>
      <c r="D874" s="11" t="s">
        <v>221</v>
      </c>
      <c r="F874" s="58"/>
      <c r="G874" s="10">
        <v>1</v>
      </c>
      <c r="H874" s="59">
        <v>24.17</v>
      </c>
      <c r="I874" s="60">
        <f>Tableau3[[#This Row],[Stock final]]*Tableau3[[#This Row],[P.U.]]</f>
        <v>24.17</v>
      </c>
      <c r="J874" s="183"/>
      <c r="K874"/>
    </row>
    <row r="875" spans="1:11" ht="19.350000000000001" customHeight="1">
      <c r="A875" s="102" t="s">
        <v>210</v>
      </c>
      <c r="B875" s="102" t="s">
        <v>15</v>
      </c>
      <c r="C875" s="116" t="s">
        <v>222</v>
      </c>
      <c r="D875" s="11" t="s">
        <v>223</v>
      </c>
      <c r="F875" s="58"/>
      <c r="G875" s="10">
        <v>1</v>
      </c>
      <c r="H875" s="59">
        <v>31.99</v>
      </c>
      <c r="I875" s="60">
        <f>Tableau3[[#This Row],[Stock final]]*Tableau3[[#This Row],[P.U.]]</f>
        <v>31.99</v>
      </c>
      <c r="J875" s="183"/>
      <c r="K875"/>
    </row>
    <row r="876" spans="1:11" ht="19.350000000000001" customHeight="1">
      <c r="A876" s="102" t="s">
        <v>210</v>
      </c>
      <c r="B876" s="102" t="s">
        <v>15</v>
      </c>
      <c r="C876" s="116" t="s">
        <v>224</v>
      </c>
      <c r="D876" s="11" t="s">
        <v>225</v>
      </c>
      <c r="F876" s="58"/>
      <c r="G876" s="10">
        <v>2</v>
      </c>
      <c r="H876" s="59">
        <v>73.53</v>
      </c>
      <c r="I876" s="60">
        <f>Tableau3[[#This Row],[Stock final]]*Tableau3[[#This Row],[P.U.]]</f>
        <v>147.06</v>
      </c>
      <c r="J876" s="183"/>
      <c r="K876"/>
    </row>
    <row r="877" spans="1:11" ht="19.350000000000001" customHeight="1">
      <c r="A877" s="102" t="s">
        <v>210</v>
      </c>
      <c r="B877" s="102" t="s">
        <v>15</v>
      </c>
      <c r="C877" s="116" t="s">
        <v>118</v>
      </c>
      <c r="D877" s="11" t="s">
        <v>228</v>
      </c>
      <c r="F877" s="58"/>
      <c r="G877" s="10">
        <v>4</v>
      </c>
      <c r="H877" s="59">
        <v>108.82</v>
      </c>
      <c r="I877" s="60">
        <f>Tableau3[[#This Row],[Stock final]]*Tableau3[[#This Row],[P.U.]]</f>
        <v>435.28</v>
      </c>
      <c r="J877" s="183"/>
      <c r="K877"/>
    </row>
    <row r="878" spans="1:11" ht="19.350000000000001" customHeight="1">
      <c r="A878" s="102" t="s">
        <v>210</v>
      </c>
      <c r="B878" s="102" t="s">
        <v>15</v>
      </c>
      <c r="C878" s="116" t="s">
        <v>119</v>
      </c>
      <c r="D878" s="11" t="s">
        <v>229</v>
      </c>
      <c r="F878" s="58"/>
      <c r="G878" s="10"/>
      <c r="H878" s="59">
        <v>101.65</v>
      </c>
      <c r="I878" s="60">
        <f>Tableau3[[#This Row],[Stock final]]*Tableau3[[#This Row],[P.U.]]</f>
        <v>0</v>
      </c>
      <c r="J878" s="183"/>
      <c r="K878"/>
    </row>
    <row r="879" spans="1:11" ht="19.350000000000001" customHeight="1">
      <c r="A879" s="102" t="s">
        <v>210</v>
      </c>
      <c r="B879" s="102" t="s">
        <v>15</v>
      </c>
      <c r="C879" s="116" t="s">
        <v>230</v>
      </c>
      <c r="D879" s="11" t="s">
        <v>231</v>
      </c>
      <c r="F879" s="58"/>
      <c r="G879" s="10"/>
      <c r="H879" s="59">
        <v>152.74</v>
      </c>
      <c r="I879" s="60">
        <f>Tableau3[[#This Row],[Stock final]]*Tableau3[[#This Row],[P.U.]]</f>
        <v>0</v>
      </c>
      <c r="J879" s="183"/>
      <c r="K879"/>
    </row>
    <row r="880" spans="1:11" ht="19.350000000000001" customHeight="1">
      <c r="A880" s="111" t="s">
        <v>210</v>
      </c>
      <c r="B880" s="111" t="s">
        <v>15</v>
      </c>
      <c r="C880" s="116" t="s">
        <v>232</v>
      </c>
      <c r="D880" s="11" t="s">
        <v>233</v>
      </c>
      <c r="F880" s="58"/>
      <c r="G880" s="10"/>
      <c r="H880" s="59">
        <v>120.93</v>
      </c>
      <c r="I880" s="60">
        <f>Tableau3[[#This Row],[Stock final]]*Tableau3[[#This Row],[P.U.]]</f>
        <v>0</v>
      </c>
      <c r="J880" s="183"/>
      <c r="K880"/>
    </row>
    <row r="881" spans="1:11" ht="19.350000000000001" customHeight="1">
      <c r="A881" s="102" t="s">
        <v>210</v>
      </c>
      <c r="B881" s="102" t="s">
        <v>15</v>
      </c>
      <c r="C881" s="116" t="s">
        <v>235</v>
      </c>
      <c r="D881" s="11" t="s">
        <v>220</v>
      </c>
      <c r="F881" s="58"/>
      <c r="G881" s="10"/>
      <c r="H881" s="59">
        <v>36.82</v>
      </c>
      <c r="I881" s="60">
        <f>Tableau3[[#This Row],[Stock final]]*Tableau3[[#This Row],[P.U.]]</f>
        <v>0</v>
      </c>
      <c r="J881" s="183"/>
      <c r="K881"/>
    </row>
    <row r="882" spans="1:11" ht="19.350000000000001" customHeight="1">
      <c r="A882" s="102" t="s">
        <v>210</v>
      </c>
      <c r="B882" s="102" t="s">
        <v>15</v>
      </c>
      <c r="C882" s="116" t="s">
        <v>252</v>
      </c>
      <c r="D882" s="11" t="s">
        <v>253</v>
      </c>
      <c r="F882" s="58"/>
      <c r="G882" s="10"/>
      <c r="H882" s="59">
        <v>36.159999999999997</v>
      </c>
      <c r="I882" s="60">
        <f>Tableau3[[#This Row],[Stock final]]*Tableau3[[#This Row],[P.U.]]</f>
        <v>0</v>
      </c>
      <c r="J882" s="183"/>
      <c r="K882"/>
    </row>
    <row r="883" spans="1:11" ht="19.350000000000001" customHeight="1">
      <c r="A883" s="102" t="s">
        <v>210</v>
      </c>
      <c r="B883" s="102" t="s">
        <v>15</v>
      </c>
      <c r="C883" s="116" t="s">
        <v>236</v>
      </c>
      <c r="D883" s="11" t="s">
        <v>237</v>
      </c>
      <c r="F883" s="58"/>
      <c r="G883" s="10">
        <v>3</v>
      </c>
      <c r="H883" s="59">
        <v>37.26</v>
      </c>
      <c r="I883" s="60">
        <f>Tableau3[[#This Row],[Stock final]]*Tableau3[[#This Row],[P.U.]]</f>
        <v>111.78</v>
      </c>
      <c r="J883" s="183"/>
      <c r="K883"/>
    </row>
    <row r="884" spans="1:11" ht="19.350000000000001" customHeight="1">
      <c r="A884" s="102" t="s">
        <v>210</v>
      </c>
      <c r="B884" s="102" t="s">
        <v>15</v>
      </c>
      <c r="C884" s="116" t="s">
        <v>238</v>
      </c>
      <c r="D884" s="11" t="s">
        <v>239</v>
      </c>
      <c r="F884" s="58"/>
      <c r="G884" s="10">
        <v>4</v>
      </c>
      <c r="H884" s="59">
        <v>40.479999999999997</v>
      </c>
      <c r="I884" s="60">
        <f>Tableau3[[#This Row],[Stock final]]*Tableau3[[#This Row],[P.U.]]</f>
        <v>161.91999999999999</v>
      </c>
      <c r="J884" s="183"/>
      <c r="K884"/>
    </row>
    <row r="885" spans="1:11" ht="19.350000000000001" customHeight="1">
      <c r="A885" s="102" t="s">
        <v>210</v>
      </c>
      <c r="B885" s="102" t="s">
        <v>15</v>
      </c>
      <c r="C885" s="116" t="s">
        <v>234</v>
      </c>
      <c r="D885" s="11" t="s">
        <v>240</v>
      </c>
      <c r="F885" s="58"/>
      <c r="G885" s="10"/>
      <c r="H885" s="59">
        <v>48.99</v>
      </c>
      <c r="I885" s="60">
        <f>Tableau3[[#This Row],[Stock final]]*Tableau3[[#This Row],[P.U.]]</f>
        <v>0</v>
      </c>
      <c r="J885" s="183"/>
      <c r="K885"/>
    </row>
    <row r="886" spans="1:11" ht="19.350000000000001" customHeight="1">
      <c r="A886" s="102" t="s">
        <v>210</v>
      </c>
      <c r="B886" s="102" t="s">
        <v>15</v>
      </c>
      <c r="C886" s="116" t="s">
        <v>241</v>
      </c>
      <c r="D886" s="11" t="s">
        <v>242</v>
      </c>
      <c r="F886" s="58"/>
      <c r="G886" s="10"/>
      <c r="H886" s="59">
        <v>80.36</v>
      </c>
      <c r="I886" s="60">
        <f>Tableau3[[#This Row],[Stock final]]*Tableau3[[#This Row],[P.U.]]</f>
        <v>0</v>
      </c>
      <c r="J886" s="183"/>
      <c r="K886"/>
    </row>
    <row r="887" spans="1:11" ht="19.350000000000001" customHeight="1">
      <c r="A887" s="102" t="s">
        <v>210</v>
      </c>
      <c r="B887" s="102" t="s">
        <v>15</v>
      </c>
      <c r="C887" s="116" t="s">
        <v>250</v>
      </c>
      <c r="D887" s="11" t="s">
        <v>251</v>
      </c>
      <c r="F887" s="58"/>
      <c r="G887" s="10">
        <v>1</v>
      </c>
      <c r="H887" s="59">
        <v>52.31</v>
      </c>
      <c r="I887" s="60">
        <f>Tableau3[[#This Row],[Stock final]]*Tableau3[[#This Row],[P.U.]]</f>
        <v>52.31</v>
      </c>
      <c r="J887" s="183"/>
      <c r="K887"/>
    </row>
    <row r="888" spans="1:11" ht="19.350000000000001" customHeight="1">
      <c r="A888" s="102" t="s">
        <v>210</v>
      </c>
      <c r="B888" s="102" t="s">
        <v>15</v>
      </c>
      <c r="C888" s="116" t="s">
        <v>243</v>
      </c>
      <c r="D888" s="11" t="s">
        <v>244</v>
      </c>
      <c r="F888" s="58"/>
      <c r="G888" s="10">
        <v>3</v>
      </c>
      <c r="H888" s="59">
        <v>77.69</v>
      </c>
      <c r="I888" s="60">
        <f>Tableau3[[#This Row],[Stock final]]*Tableau3[[#This Row],[P.U.]]</f>
        <v>233.07</v>
      </c>
      <c r="J888" s="183"/>
      <c r="K888"/>
    </row>
    <row r="889" spans="1:11" ht="19.350000000000001" customHeight="1">
      <c r="A889" s="102" t="s">
        <v>210</v>
      </c>
      <c r="B889" s="102" t="s">
        <v>15</v>
      </c>
      <c r="C889" s="116" t="s">
        <v>254</v>
      </c>
      <c r="D889" s="11" t="s">
        <v>255</v>
      </c>
      <c r="F889" s="58"/>
      <c r="G889" s="10">
        <v>5</v>
      </c>
      <c r="H889" s="59">
        <v>52.53</v>
      </c>
      <c r="I889" s="60">
        <f>Tableau3[[#This Row],[Stock final]]*Tableau3[[#This Row],[P.U.]]</f>
        <v>262.64999999999998</v>
      </c>
      <c r="J889" s="183"/>
      <c r="K889"/>
    </row>
    <row r="890" spans="1:11" ht="19.350000000000001" customHeight="1">
      <c r="A890" s="102" t="s">
        <v>210</v>
      </c>
      <c r="B890" s="102" t="s">
        <v>15</v>
      </c>
      <c r="C890" s="116" t="s">
        <v>257</v>
      </c>
      <c r="D890" s="11" t="s">
        <v>256</v>
      </c>
      <c r="F890" s="58"/>
      <c r="G890" s="10"/>
      <c r="H890" s="59">
        <v>70.38</v>
      </c>
      <c r="I890" s="60">
        <f>Tableau3[[#This Row],[Stock final]]*Tableau3[[#This Row],[P.U.]]</f>
        <v>0</v>
      </c>
      <c r="J890" s="183"/>
      <c r="K890"/>
    </row>
    <row r="891" spans="1:11" ht="19.350000000000001" customHeight="1">
      <c r="A891" s="102" t="s">
        <v>210</v>
      </c>
      <c r="B891" s="102" t="s">
        <v>15</v>
      </c>
      <c r="C891" s="116" t="s">
        <v>258</v>
      </c>
      <c r="D891" s="11" t="s">
        <v>259</v>
      </c>
      <c r="F891" s="58"/>
      <c r="G891" s="10"/>
      <c r="H891" s="59">
        <v>65.099999999999994</v>
      </c>
      <c r="I891" s="60">
        <f>Tableau3[[#This Row],[Stock final]]*Tableau3[[#This Row],[P.U.]]</f>
        <v>0</v>
      </c>
      <c r="J891" s="183"/>
      <c r="K891"/>
    </row>
    <row r="892" spans="1:11" ht="19.350000000000001" customHeight="1">
      <c r="A892" s="102" t="s">
        <v>210</v>
      </c>
      <c r="B892" s="102" t="s">
        <v>15</v>
      </c>
      <c r="C892" s="116" t="s">
        <v>264</v>
      </c>
      <c r="D892" s="11" t="s">
        <v>245</v>
      </c>
      <c r="F892" s="58"/>
      <c r="G892" s="10"/>
      <c r="H892" s="59">
        <v>70.86</v>
      </c>
      <c r="I892" s="60">
        <f>Tableau3[[#This Row],[Stock final]]*Tableau3[[#This Row],[P.U.]]</f>
        <v>0</v>
      </c>
      <c r="J892" s="183"/>
      <c r="K892"/>
    </row>
    <row r="893" spans="1:11" ht="19.350000000000001" customHeight="1">
      <c r="A893" s="102" t="s">
        <v>210</v>
      </c>
      <c r="B893" s="102" t="s">
        <v>15</v>
      </c>
      <c r="C893" s="116" t="s">
        <v>263</v>
      </c>
      <c r="D893" s="11" t="s">
        <v>260</v>
      </c>
      <c r="F893" s="58"/>
      <c r="G893" s="10"/>
      <c r="H893" s="59">
        <v>58.43</v>
      </c>
      <c r="I893" s="60">
        <f>Tableau3[[#This Row],[Stock final]]*Tableau3[[#This Row],[P.U.]]</f>
        <v>0</v>
      </c>
      <c r="J893" s="183"/>
      <c r="K893"/>
    </row>
    <row r="894" spans="1:11" ht="19.350000000000001" customHeight="1">
      <c r="A894" s="102" t="s">
        <v>210</v>
      </c>
      <c r="B894" s="102" t="s">
        <v>15</v>
      </c>
      <c r="C894" s="116" t="s">
        <v>265</v>
      </c>
      <c r="D894" s="11" t="s">
        <v>246</v>
      </c>
      <c r="F894" s="58"/>
      <c r="G894" s="10"/>
      <c r="H894" s="59">
        <v>77.47</v>
      </c>
      <c r="I894" s="60">
        <f>Tableau3[[#This Row],[Stock final]]*Tableau3[[#This Row],[P.U.]]</f>
        <v>0</v>
      </c>
      <c r="J894" s="183"/>
      <c r="K894"/>
    </row>
    <row r="895" spans="1:11" ht="19.350000000000001" customHeight="1">
      <c r="A895" s="102" t="s">
        <v>210</v>
      </c>
      <c r="B895" s="102" t="s">
        <v>15</v>
      </c>
      <c r="C895" s="116" t="s">
        <v>262</v>
      </c>
      <c r="D895" s="11" t="s">
        <v>261</v>
      </c>
      <c r="F895" s="58"/>
      <c r="G895" s="10"/>
      <c r="H895" s="59">
        <v>74.75</v>
      </c>
      <c r="I895" s="60">
        <f>Tableau3[[#This Row],[Stock final]]*Tableau3[[#This Row],[P.U.]]</f>
        <v>0</v>
      </c>
      <c r="J895" s="183"/>
      <c r="K895"/>
    </row>
    <row r="896" spans="1:11" ht="19.350000000000001" customHeight="1">
      <c r="A896" s="102" t="s">
        <v>210</v>
      </c>
      <c r="B896" s="102" t="s">
        <v>15</v>
      </c>
      <c r="C896" s="116" t="s">
        <v>266</v>
      </c>
      <c r="D896" s="11" t="s">
        <v>247</v>
      </c>
      <c r="F896" s="58"/>
      <c r="G896" s="10"/>
      <c r="H896" s="59">
        <v>103.47</v>
      </c>
      <c r="I896" s="60">
        <f>Tableau3[[#This Row],[Stock final]]*Tableau3[[#This Row],[P.U.]]</f>
        <v>0</v>
      </c>
      <c r="J896" s="183"/>
      <c r="K896"/>
    </row>
    <row r="897" spans="1:11" ht="19.350000000000001" customHeight="1">
      <c r="A897" s="102" t="s">
        <v>210</v>
      </c>
      <c r="B897" s="102" t="s">
        <v>15</v>
      </c>
      <c r="C897" s="116" t="s">
        <v>248</v>
      </c>
      <c r="D897" s="11" t="s">
        <v>249</v>
      </c>
      <c r="F897" s="58"/>
      <c r="G897" s="10">
        <v>1</v>
      </c>
      <c r="H897" s="59">
        <v>163.25</v>
      </c>
      <c r="I897" s="60">
        <f>Tableau3[[#This Row],[Stock final]]*Tableau3[[#This Row],[P.U.]]</f>
        <v>163.25</v>
      </c>
      <c r="J897" s="183"/>
      <c r="K897"/>
    </row>
    <row r="898" spans="1:11" ht="19.350000000000001" customHeight="1">
      <c r="A898" s="102"/>
      <c r="B898" s="102" t="s">
        <v>15</v>
      </c>
      <c r="C898" s="116" t="s">
        <v>1221</v>
      </c>
      <c r="D898" s="11" t="s">
        <v>1505</v>
      </c>
      <c r="F898" s="58"/>
      <c r="G898" s="10">
        <v>2</v>
      </c>
      <c r="H898" s="59">
        <v>66.41</v>
      </c>
      <c r="I898" s="60">
        <f>Tableau3[[#This Row],[Stock final]]*Tableau3[[#This Row],[P.U.]]</f>
        <v>132.82</v>
      </c>
      <c r="J898" s="183"/>
      <c r="K898"/>
    </row>
    <row r="899" spans="1:11" ht="19.350000000000001" customHeight="1">
      <c r="A899" s="102"/>
      <c r="B899" s="102" t="s">
        <v>15</v>
      </c>
      <c r="C899" s="116" t="s">
        <v>1222</v>
      </c>
      <c r="D899" s="11" t="s">
        <v>1506</v>
      </c>
      <c r="F899" s="58"/>
      <c r="G899" s="10">
        <v>1</v>
      </c>
      <c r="H899" s="59">
        <v>60.59</v>
      </c>
      <c r="I899" s="60">
        <f>Tableau3[[#This Row],[Stock final]]*Tableau3[[#This Row],[P.U.]]</f>
        <v>60.59</v>
      </c>
      <c r="J899" s="183"/>
      <c r="K899"/>
    </row>
    <row r="900" spans="1:11" ht="19.350000000000001" customHeight="1">
      <c r="A900" s="102"/>
      <c r="B900" s="102" t="s">
        <v>15</v>
      </c>
      <c r="C900" s="116" t="s">
        <v>1223</v>
      </c>
      <c r="D900" s="11" t="s">
        <v>1507</v>
      </c>
      <c r="F900" s="58"/>
      <c r="G900" s="10">
        <v>1</v>
      </c>
      <c r="H900" s="59">
        <v>59.94</v>
      </c>
      <c r="I900" s="60">
        <f>Tableau3[[#This Row],[Stock final]]*Tableau3[[#This Row],[P.U.]]</f>
        <v>59.94</v>
      </c>
      <c r="J900" s="183"/>
      <c r="K900"/>
    </row>
    <row r="901" spans="1:11" ht="19.350000000000001" customHeight="1">
      <c r="A901" s="102"/>
      <c r="B901" s="102"/>
      <c r="C901" s="116"/>
      <c r="F901" s="58"/>
      <c r="G901" s="10"/>
      <c r="H901" s="59"/>
      <c r="I901" s="60">
        <f>Tableau3[[#This Row],[Stock final]]*Tableau3[[#This Row],[P.U.]]</f>
        <v>0</v>
      </c>
      <c r="J901" s="183"/>
      <c r="K901"/>
    </row>
    <row r="902" spans="1:11" ht="19.350000000000001" customHeight="1">
      <c r="A902" s="102"/>
      <c r="B902" s="102"/>
      <c r="C902" s="116"/>
      <c r="F902" s="58"/>
      <c r="G902" s="10"/>
      <c r="H902" s="59"/>
      <c r="I902" s="60">
        <f>Tableau3[[#This Row],[Stock final]]*Tableau3[[#This Row],[P.U.]]</f>
        <v>0</v>
      </c>
      <c r="J902" s="183"/>
      <c r="K902"/>
    </row>
    <row r="903" spans="1:11" ht="19.350000000000001" customHeight="1">
      <c r="A903" s="102"/>
      <c r="B903" s="102"/>
      <c r="C903" s="116"/>
      <c r="F903" s="58"/>
      <c r="G903" s="10"/>
      <c r="H903" s="59"/>
      <c r="I903" s="60">
        <f>Tableau3[[#This Row],[Stock final]]*Tableau3[[#This Row],[P.U.]]</f>
        <v>0</v>
      </c>
      <c r="J903" s="183"/>
      <c r="K903"/>
    </row>
    <row r="904" spans="1:11" ht="19.5" customHeight="1">
      <c r="A904" s="102"/>
      <c r="B904" s="102"/>
      <c r="C904" s="116"/>
      <c r="F904" s="58"/>
      <c r="G904" s="10"/>
      <c r="H904" s="59"/>
      <c r="I904" s="60">
        <f>Tableau3[[#This Row],[Stock final]]*Tableau3[[#This Row],[P.U.]]</f>
        <v>0</v>
      </c>
      <c r="J904" s="183"/>
      <c r="K904"/>
    </row>
    <row r="905" spans="1:11" ht="19.350000000000001" customHeight="1">
      <c r="A905" s="102"/>
      <c r="B905" s="102"/>
      <c r="C905" s="116"/>
      <c r="F905" s="58"/>
      <c r="G905" s="10"/>
      <c r="H905" s="59"/>
      <c r="I905" s="60">
        <f>Tableau3[[#This Row],[Stock final]]*Tableau3[[#This Row],[P.U.]]</f>
        <v>0</v>
      </c>
      <c r="J905" s="183"/>
      <c r="K905"/>
    </row>
    <row r="906" spans="1:11" ht="19.350000000000001" customHeight="1">
      <c r="A906" s="102"/>
      <c r="B906" s="102"/>
      <c r="C906" s="116"/>
      <c r="F906" s="58"/>
      <c r="G906" s="10"/>
      <c r="H906" s="59"/>
      <c r="I906" s="60">
        <f>Tableau3[[#This Row],[Stock final]]*Tableau3[[#This Row],[P.U.]]</f>
        <v>0</v>
      </c>
      <c r="J906" s="183"/>
      <c r="K906"/>
    </row>
    <row r="907" spans="1:11" ht="19.350000000000001" customHeight="1">
      <c r="A907" s="102"/>
      <c r="B907" s="102"/>
      <c r="C907" s="116"/>
      <c r="F907" s="58"/>
      <c r="G907" s="10"/>
      <c r="H907" s="59"/>
      <c r="I907" s="60">
        <f>Tableau3[[#This Row],[Stock final]]*Tableau3[[#This Row],[P.U.]]</f>
        <v>0</v>
      </c>
      <c r="J907" s="183"/>
      <c r="K907"/>
    </row>
    <row r="908" spans="1:11" ht="19.350000000000001" customHeight="1">
      <c r="A908" s="102"/>
      <c r="B908" s="102"/>
      <c r="C908" s="116"/>
      <c r="F908" s="58"/>
      <c r="G908" s="10"/>
      <c r="H908" s="59"/>
      <c r="I908" s="60">
        <f>Tableau3[[#This Row],[Stock final]]*Tableau3[[#This Row],[P.U.]]</f>
        <v>0</v>
      </c>
      <c r="J908" s="183"/>
      <c r="K908"/>
    </row>
    <row r="909" spans="1:11" ht="19.350000000000001" customHeight="1">
      <c r="A909" s="102"/>
      <c r="B909" s="102"/>
      <c r="C909" s="116"/>
      <c r="F909" s="58"/>
      <c r="G909" s="10"/>
      <c r="H909" s="59"/>
      <c r="I909" s="60">
        <f>Tableau3[[#This Row],[Stock final]]*Tableau3[[#This Row],[P.U.]]</f>
        <v>0</v>
      </c>
      <c r="J909" s="183"/>
      <c r="K909"/>
    </row>
    <row r="910" spans="1:11" ht="19.350000000000001" customHeight="1">
      <c r="A910" s="102"/>
      <c r="B910" s="102"/>
      <c r="C910" s="116"/>
      <c r="F910" s="58"/>
      <c r="G910" s="10"/>
      <c r="H910" s="59"/>
      <c r="I910" s="60">
        <f>Tableau3[[#This Row],[Stock final]]*Tableau3[[#This Row],[P.U.]]</f>
        <v>0</v>
      </c>
      <c r="J910" s="183"/>
      <c r="K910"/>
    </row>
    <row r="911" spans="1:11" ht="19.350000000000001" customHeight="1">
      <c r="A911" s="102"/>
      <c r="B911" s="102"/>
      <c r="C911" s="116"/>
      <c r="F911" s="58"/>
      <c r="G911" s="10"/>
      <c r="H911" s="59"/>
      <c r="I911" s="60">
        <f>Tableau3[[#This Row],[Stock final]]*Tableau3[[#This Row],[P.U.]]</f>
        <v>0</v>
      </c>
      <c r="J911" s="183"/>
      <c r="K911"/>
    </row>
    <row r="912" spans="1:11" ht="19.350000000000001" customHeight="1">
      <c r="A912" s="102"/>
      <c r="B912" s="102"/>
      <c r="C912" s="116"/>
      <c r="F912" s="58"/>
      <c r="G912" s="10"/>
      <c r="H912" s="59"/>
      <c r="I912" s="60">
        <f>Tableau3[[#This Row],[Stock final]]*Tableau3[[#This Row],[P.U.]]</f>
        <v>0</v>
      </c>
      <c r="J912" s="183"/>
      <c r="K912"/>
    </row>
    <row r="913" spans="1:11" ht="19.350000000000001" customHeight="1">
      <c r="A913" s="102"/>
      <c r="B913" s="102"/>
      <c r="C913" s="116"/>
      <c r="F913" s="58"/>
      <c r="G913" s="10"/>
      <c r="H913" s="59"/>
      <c r="I913" s="60">
        <f>Tableau3[[#This Row],[Stock final]]*Tableau3[[#This Row],[P.U.]]</f>
        <v>0</v>
      </c>
      <c r="J913" s="183"/>
      <c r="K913"/>
    </row>
    <row r="914" spans="1:11" ht="19.350000000000001" customHeight="1">
      <c r="A914" s="102"/>
      <c r="B914" s="102"/>
      <c r="C914" s="116"/>
      <c r="F914" s="58"/>
      <c r="G914" s="10"/>
      <c r="H914" s="59"/>
      <c r="I914" s="60">
        <f>Tableau3[[#This Row],[Stock final]]*Tableau3[[#This Row],[P.U.]]</f>
        <v>0</v>
      </c>
      <c r="J914" s="183"/>
      <c r="K914"/>
    </row>
    <row r="915" spans="1:11" ht="19.350000000000001" customHeight="1">
      <c r="A915" s="102"/>
      <c r="B915" s="102" t="s">
        <v>15</v>
      </c>
      <c r="C915" s="116" t="s">
        <v>1224</v>
      </c>
      <c r="D915" s="11" t="s">
        <v>1508</v>
      </c>
      <c r="F915" s="58"/>
      <c r="G915" s="10">
        <v>1</v>
      </c>
      <c r="H915" s="59">
        <v>139.46</v>
      </c>
      <c r="I915" s="60">
        <f>Tableau3[[#This Row],[Stock final]]*Tableau3[[#This Row],[P.U.]]</f>
        <v>139.46</v>
      </c>
      <c r="J915" s="183"/>
      <c r="K915"/>
    </row>
    <row r="916" spans="1:11" ht="19.350000000000001" customHeight="1">
      <c r="A916" s="102"/>
      <c r="B916" s="102"/>
      <c r="C916" s="116"/>
      <c r="F916" s="58"/>
      <c r="G916" s="10"/>
      <c r="H916" s="59"/>
      <c r="I916" s="60">
        <f>Tableau3[[#This Row],[Stock final]]*Tableau3[[#This Row],[P.U.]]</f>
        <v>0</v>
      </c>
      <c r="J916" s="183"/>
      <c r="K916"/>
    </row>
    <row r="917" spans="1:11" ht="19.350000000000001" customHeight="1">
      <c r="A917" s="102"/>
      <c r="B917" s="102" t="s">
        <v>15</v>
      </c>
      <c r="C917" s="116" t="s">
        <v>1225</v>
      </c>
      <c r="D917" s="11" t="s">
        <v>1509</v>
      </c>
      <c r="F917" s="58"/>
      <c r="G917" s="10">
        <v>1</v>
      </c>
      <c r="H917" s="59">
        <v>123.86</v>
      </c>
      <c r="I917" s="60">
        <f>Tableau3[[#This Row],[Stock final]]*Tableau3[[#This Row],[P.U.]]</f>
        <v>123.86</v>
      </c>
      <c r="J917" s="183"/>
      <c r="K917"/>
    </row>
    <row r="918" spans="1:11" ht="19.350000000000001" customHeight="1">
      <c r="A918" s="102" t="s">
        <v>267</v>
      </c>
      <c r="B918" s="102" t="s">
        <v>15</v>
      </c>
      <c r="C918" s="116" t="s">
        <v>268</v>
      </c>
      <c r="D918" s="11" t="s">
        <v>278</v>
      </c>
      <c r="E918" s="113" t="s">
        <v>283</v>
      </c>
      <c r="F918" s="58"/>
      <c r="G918" s="10">
        <v>5</v>
      </c>
      <c r="H918" s="59">
        <v>11.89</v>
      </c>
      <c r="I918" s="60">
        <f>Tableau3[[#This Row],[Stock final]]*Tableau3[[#This Row],[P.U.]]</f>
        <v>59.45</v>
      </c>
      <c r="J918" s="183"/>
      <c r="K918"/>
    </row>
    <row r="919" spans="1:11" ht="19.350000000000001" customHeight="1">
      <c r="A919" s="102" t="s">
        <v>267</v>
      </c>
      <c r="B919" s="102" t="s">
        <v>15</v>
      </c>
      <c r="C919" s="153" t="s">
        <v>269</v>
      </c>
      <c r="D919" s="11" t="s">
        <v>279</v>
      </c>
      <c r="E919" s="113" t="s">
        <v>283</v>
      </c>
      <c r="F919" s="58"/>
      <c r="G919" s="10">
        <v>27</v>
      </c>
      <c r="H919" s="59">
        <v>7.25</v>
      </c>
      <c r="I919" s="60">
        <f>Tableau3[[#This Row],[Stock final]]*Tableau3[[#This Row],[P.U.]]</f>
        <v>195.75</v>
      </c>
      <c r="J919" s="183"/>
      <c r="K919"/>
    </row>
    <row r="920" spans="1:11" ht="19.350000000000001" customHeight="1">
      <c r="A920" s="102" t="s">
        <v>267</v>
      </c>
      <c r="B920" s="102" t="s">
        <v>15</v>
      </c>
      <c r="C920" s="116" t="s">
        <v>270</v>
      </c>
      <c r="D920" s="11" t="s">
        <v>280</v>
      </c>
      <c r="E920" s="113" t="s">
        <v>283</v>
      </c>
      <c r="F920" s="58"/>
      <c r="G920" s="10">
        <v>12</v>
      </c>
      <c r="H920" s="59">
        <v>7.25</v>
      </c>
      <c r="I920" s="60">
        <f>Tableau3[[#This Row],[Stock final]]*Tableau3[[#This Row],[P.U.]]</f>
        <v>87</v>
      </c>
      <c r="J920" s="183"/>
      <c r="K920"/>
    </row>
    <row r="921" spans="1:11" ht="19.350000000000001" customHeight="1">
      <c r="A921" s="102" t="s">
        <v>267</v>
      </c>
      <c r="B921" s="102" t="s">
        <v>15</v>
      </c>
      <c r="C921" s="116" t="s">
        <v>271</v>
      </c>
      <c r="D921" s="11" t="s">
        <v>281</v>
      </c>
      <c r="E921" s="113" t="s">
        <v>283</v>
      </c>
      <c r="F921" s="58"/>
      <c r="G921" s="10">
        <v>26</v>
      </c>
      <c r="H921" s="59">
        <v>7.25</v>
      </c>
      <c r="I921" s="60">
        <f>Tableau3[[#This Row],[Stock final]]*Tableau3[[#This Row],[P.U.]]</f>
        <v>188.5</v>
      </c>
      <c r="J921" s="183"/>
      <c r="K921"/>
    </row>
    <row r="922" spans="1:11" ht="19.350000000000001" customHeight="1">
      <c r="A922" s="102" t="s">
        <v>267</v>
      </c>
      <c r="B922" s="102" t="s">
        <v>15</v>
      </c>
      <c r="C922" s="116" t="s">
        <v>272</v>
      </c>
      <c r="D922" s="11" t="s">
        <v>282</v>
      </c>
      <c r="E922" s="113" t="s">
        <v>283</v>
      </c>
      <c r="F922" s="58"/>
      <c r="G922" s="10">
        <v>19</v>
      </c>
      <c r="H922" s="59">
        <v>9.58</v>
      </c>
      <c r="I922" s="60">
        <f>Tableau3[[#This Row],[Stock final]]*Tableau3[[#This Row],[P.U.]]</f>
        <v>182.02</v>
      </c>
      <c r="J922" s="183"/>
      <c r="K922"/>
    </row>
    <row r="923" spans="1:11" ht="19.350000000000001" customHeight="1">
      <c r="A923" s="102" t="s">
        <v>267</v>
      </c>
      <c r="B923" s="102" t="s">
        <v>15</v>
      </c>
      <c r="C923" s="116" t="s">
        <v>273</v>
      </c>
      <c r="D923" s="11" t="s">
        <v>278</v>
      </c>
      <c r="F923" s="58"/>
      <c r="G923" s="10"/>
      <c r="H923" s="59">
        <v>13.53</v>
      </c>
      <c r="I923" s="60">
        <f>Tableau3[[#This Row],[Stock final]]*Tableau3[[#This Row],[P.U.]]</f>
        <v>0</v>
      </c>
      <c r="J923" s="183"/>
      <c r="K923"/>
    </row>
    <row r="924" spans="1:11" ht="19.350000000000001" customHeight="1">
      <c r="A924" s="102" t="s">
        <v>267</v>
      </c>
      <c r="B924" s="102" t="s">
        <v>15</v>
      </c>
      <c r="C924" s="116" t="s">
        <v>274</v>
      </c>
      <c r="D924" s="11" t="s">
        <v>279</v>
      </c>
      <c r="F924" s="58"/>
      <c r="G924" s="10"/>
      <c r="H924" s="59">
        <v>8.25</v>
      </c>
      <c r="I924" s="60">
        <f>Tableau3[[#This Row],[Stock final]]*Tableau3[[#This Row],[P.U.]]</f>
        <v>0</v>
      </c>
      <c r="J924" s="183"/>
      <c r="K924"/>
    </row>
    <row r="925" spans="1:11" ht="19.350000000000001" customHeight="1">
      <c r="A925" s="102" t="s">
        <v>267</v>
      </c>
      <c r="B925" s="102" t="s">
        <v>15</v>
      </c>
      <c r="C925" s="116" t="s">
        <v>275</v>
      </c>
      <c r="D925" s="11" t="s">
        <v>280</v>
      </c>
      <c r="F925" s="58"/>
      <c r="G925" s="10"/>
      <c r="H925" s="59">
        <v>8.25</v>
      </c>
      <c r="I925" s="60">
        <f>Tableau3[[#This Row],[Stock final]]*Tableau3[[#This Row],[P.U.]]</f>
        <v>0</v>
      </c>
      <c r="J925" s="183"/>
      <c r="K925"/>
    </row>
    <row r="926" spans="1:11" ht="19.350000000000001" customHeight="1">
      <c r="A926" s="102" t="s">
        <v>267</v>
      </c>
      <c r="B926" s="102" t="s">
        <v>15</v>
      </c>
      <c r="C926" s="116" t="s">
        <v>276</v>
      </c>
      <c r="D926" s="11" t="s">
        <v>281</v>
      </c>
      <c r="F926" s="58"/>
      <c r="G926" s="10"/>
      <c r="H926" s="59">
        <v>8.25</v>
      </c>
      <c r="I926" s="60">
        <f>Tableau3[[#This Row],[Stock final]]*Tableau3[[#This Row],[P.U.]]</f>
        <v>0</v>
      </c>
      <c r="J926" s="183"/>
      <c r="K926"/>
    </row>
    <row r="927" spans="1:11" ht="19.350000000000001" customHeight="1">
      <c r="A927" s="102" t="s">
        <v>267</v>
      </c>
      <c r="B927" s="102" t="s">
        <v>15</v>
      </c>
      <c r="C927" s="116" t="s">
        <v>277</v>
      </c>
      <c r="D927" s="11" t="s">
        <v>282</v>
      </c>
      <c r="F927" s="58"/>
      <c r="G927" s="10"/>
      <c r="H927" s="59">
        <v>10.89</v>
      </c>
      <c r="I927" s="60">
        <f>Tableau3[[#This Row],[Stock final]]*Tableau3[[#This Row],[P.U.]]</f>
        <v>0</v>
      </c>
      <c r="J927" s="183"/>
      <c r="K927"/>
    </row>
    <row r="928" spans="1:11" ht="19.350000000000001" customHeight="1">
      <c r="A928" s="102" t="s">
        <v>267</v>
      </c>
      <c r="B928" s="102" t="s">
        <v>15</v>
      </c>
      <c r="C928" s="116" t="s">
        <v>284</v>
      </c>
      <c r="D928" s="11" t="s">
        <v>278</v>
      </c>
      <c r="E928" s="113" t="s">
        <v>289</v>
      </c>
      <c r="F928" s="58"/>
      <c r="G928" s="10">
        <v>25</v>
      </c>
      <c r="H928" s="59">
        <v>13.75</v>
      </c>
      <c r="I928" s="60">
        <f>Tableau3[[#This Row],[Stock final]]*Tableau3[[#This Row],[P.U.]]</f>
        <v>343.75</v>
      </c>
      <c r="J928" s="183"/>
      <c r="K928"/>
    </row>
    <row r="929" spans="1:11" ht="19.350000000000001" customHeight="1">
      <c r="A929" s="102" t="s">
        <v>267</v>
      </c>
      <c r="B929" s="102" t="s">
        <v>15</v>
      </c>
      <c r="C929" s="116" t="s">
        <v>285</v>
      </c>
      <c r="D929" s="11" t="s">
        <v>279</v>
      </c>
      <c r="E929" s="113" t="s">
        <v>289</v>
      </c>
      <c r="F929" s="58"/>
      <c r="G929" s="10">
        <v>18</v>
      </c>
      <c r="H929" s="59">
        <v>10.63</v>
      </c>
      <c r="I929" s="60">
        <f>Tableau3[[#This Row],[Stock final]]*Tableau3[[#This Row],[P.U.]]</f>
        <v>191.34</v>
      </c>
      <c r="J929" s="183"/>
      <c r="K929"/>
    </row>
    <row r="930" spans="1:11" ht="19.350000000000001" customHeight="1">
      <c r="A930" s="102" t="s">
        <v>267</v>
      </c>
      <c r="B930" s="102" t="s">
        <v>15</v>
      </c>
      <c r="C930" s="116" t="s">
        <v>286</v>
      </c>
      <c r="D930" s="11" t="s">
        <v>280</v>
      </c>
      <c r="E930" s="113" t="s">
        <v>289</v>
      </c>
      <c r="F930" s="58"/>
      <c r="G930" s="10">
        <v>17</v>
      </c>
      <c r="H930" s="59">
        <v>10.84</v>
      </c>
      <c r="I930" s="60">
        <f>Tableau3[[#This Row],[Stock final]]*Tableau3[[#This Row],[P.U.]]</f>
        <v>184.28</v>
      </c>
      <c r="J930" s="183"/>
      <c r="K930"/>
    </row>
    <row r="931" spans="1:11" ht="19.350000000000001" customHeight="1">
      <c r="A931" s="102" t="s">
        <v>267</v>
      </c>
      <c r="B931" s="102" t="s">
        <v>15</v>
      </c>
      <c r="C931" s="116" t="s">
        <v>287</v>
      </c>
      <c r="D931" s="11" t="s">
        <v>281</v>
      </c>
      <c r="E931" s="113" t="s">
        <v>289</v>
      </c>
      <c r="F931" s="58"/>
      <c r="G931" s="10"/>
      <c r="H931" s="59">
        <v>11.26</v>
      </c>
      <c r="I931" s="60">
        <f>Tableau3[[#This Row],[Stock final]]*Tableau3[[#This Row],[P.U.]]</f>
        <v>0</v>
      </c>
      <c r="J931" s="183"/>
      <c r="K931"/>
    </row>
    <row r="932" spans="1:11" ht="19.350000000000001" customHeight="1">
      <c r="A932" s="102" t="s">
        <v>267</v>
      </c>
      <c r="B932" s="102" t="s">
        <v>15</v>
      </c>
      <c r="C932" s="116" t="s">
        <v>288</v>
      </c>
      <c r="D932" s="11" t="s">
        <v>282</v>
      </c>
      <c r="E932" s="113" t="s">
        <v>289</v>
      </c>
      <c r="F932" s="58"/>
      <c r="G932" s="10"/>
      <c r="H932" s="59">
        <v>12.73</v>
      </c>
      <c r="I932" s="60">
        <f>Tableau3[[#This Row],[Stock final]]*Tableau3[[#This Row],[P.U.]]</f>
        <v>0</v>
      </c>
      <c r="J932" s="183"/>
      <c r="K932"/>
    </row>
    <row r="933" spans="1:11" ht="19.350000000000001" customHeight="1">
      <c r="A933" s="102" t="s">
        <v>267</v>
      </c>
      <c r="B933" s="105" t="s">
        <v>15</v>
      </c>
      <c r="C933" s="116" t="s">
        <v>290</v>
      </c>
      <c r="D933" s="11" t="s">
        <v>291</v>
      </c>
      <c r="F933" s="58"/>
      <c r="G933" s="10">
        <v>4</v>
      </c>
      <c r="H933" s="59">
        <v>30.05</v>
      </c>
      <c r="I933" s="60">
        <f>Tableau3[[#This Row],[Stock final]]*Tableau3[[#This Row],[P.U.]]</f>
        <v>120.2</v>
      </c>
      <c r="J933" s="183"/>
      <c r="K933"/>
    </row>
    <row r="934" spans="1:11" ht="19.350000000000001" customHeight="1">
      <c r="A934" s="102" t="s">
        <v>267</v>
      </c>
      <c r="B934" s="112" t="s">
        <v>15</v>
      </c>
      <c r="C934" s="116" t="s">
        <v>292</v>
      </c>
      <c r="D934" s="11" t="s">
        <v>293</v>
      </c>
      <c r="F934" s="58"/>
      <c r="G934" s="10"/>
      <c r="H934" s="59">
        <v>50.77</v>
      </c>
      <c r="I934" s="60">
        <f>Tableau3[[#This Row],[Stock final]]*Tableau3[[#This Row],[P.U.]]</f>
        <v>0</v>
      </c>
      <c r="J934" s="183"/>
      <c r="K934"/>
    </row>
    <row r="935" spans="1:11" ht="19.350000000000001" customHeight="1">
      <c r="A935" s="102" t="s">
        <v>267</v>
      </c>
      <c r="B935" s="105" t="s">
        <v>15</v>
      </c>
      <c r="C935" s="116" t="s">
        <v>294</v>
      </c>
      <c r="D935" s="11" t="s">
        <v>295</v>
      </c>
      <c r="F935" s="58"/>
      <c r="G935" s="10"/>
      <c r="H935" s="59">
        <v>30.47</v>
      </c>
      <c r="I935" s="60">
        <f>Tableau3[[#This Row],[Stock final]]*Tableau3[[#This Row],[P.U.]]</f>
        <v>0</v>
      </c>
      <c r="J935" s="183"/>
      <c r="K935"/>
    </row>
    <row r="936" spans="1:11" ht="19.350000000000001" customHeight="1">
      <c r="A936" s="102" t="s">
        <v>267</v>
      </c>
      <c r="B936" s="104" t="s">
        <v>15</v>
      </c>
      <c r="C936" s="116" t="s">
        <v>296</v>
      </c>
      <c r="D936" s="11" t="s">
        <v>297</v>
      </c>
      <c r="F936" s="58"/>
      <c r="G936" s="10">
        <v>4</v>
      </c>
      <c r="H936" s="59">
        <v>39.18</v>
      </c>
      <c r="I936" s="60">
        <f>Tableau3[[#This Row],[Stock final]]*Tableau3[[#This Row],[P.U.]]</f>
        <v>156.72</v>
      </c>
      <c r="J936" s="183"/>
      <c r="K936"/>
    </row>
    <row r="937" spans="1:11" ht="19.350000000000001" customHeight="1">
      <c r="A937" s="102" t="s">
        <v>267</v>
      </c>
      <c r="B937" s="105" t="s">
        <v>15</v>
      </c>
      <c r="C937" s="116" t="s">
        <v>298</v>
      </c>
      <c r="D937" s="11" t="s">
        <v>299</v>
      </c>
      <c r="F937" s="58"/>
      <c r="G937" s="10"/>
      <c r="H937" s="59">
        <v>61.08</v>
      </c>
      <c r="I937" s="60">
        <f>Tableau3[[#This Row],[Stock final]]*Tableau3[[#This Row],[P.U.]]</f>
        <v>0</v>
      </c>
      <c r="J937" s="183"/>
      <c r="K937"/>
    </row>
    <row r="938" spans="1:11" ht="19.350000000000001" customHeight="1">
      <c r="A938" s="102" t="s">
        <v>267</v>
      </c>
      <c r="B938" s="109" t="s">
        <v>15</v>
      </c>
      <c r="C938" s="116" t="s">
        <v>300</v>
      </c>
      <c r="D938" s="11" t="s">
        <v>301</v>
      </c>
      <c r="F938" s="58"/>
      <c r="G938" s="10"/>
      <c r="H938" s="59">
        <v>103</v>
      </c>
      <c r="I938" s="60">
        <f>Tableau3[[#This Row],[Stock final]]*Tableau3[[#This Row],[P.U.]]</f>
        <v>0</v>
      </c>
      <c r="J938" s="183"/>
      <c r="K938"/>
    </row>
    <row r="939" spans="1:11" ht="19.350000000000001" customHeight="1">
      <c r="A939" s="102" t="s">
        <v>267</v>
      </c>
      <c r="B939" s="102" t="s">
        <v>15</v>
      </c>
      <c r="C939" s="116" t="s">
        <v>302</v>
      </c>
      <c r="D939" s="11" t="s">
        <v>303</v>
      </c>
      <c r="F939" s="58"/>
      <c r="G939" s="10"/>
      <c r="H939" s="59">
        <v>37.96</v>
      </c>
      <c r="I939" s="60">
        <f>Tableau3[[#This Row],[Stock final]]*Tableau3[[#This Row],[P.U.]]</f>
        <v>0</v>
      </c>
      <c r="J939" s="183"/>
      <c r="K939"/>
    </row>
    <row r="940" spans="1:11" ht="19.350000000000001" customHeight="1">
      <c r="A940" s="109" t="s">
        <v>267</v>
      </c>
      <c r="B940" s="109" t="s">
        <v>15</v>
      </c>
      <c r="C940" s="116" t="s">
        <v>304</v>
      </c>
      <c r="D940" s="11" t="s">
        <v>305</v>
      </c>
      <c r="F940" s="58"/>
      <c r="G940" s="10">
        <v>2</v>
      </c>
      <c r="H940" s="59">
        <v>60.18</v>
      </c>
      <c r="I940" s="60">
        <f>Tableau3[[#This Row],[Stock final]]*Tableau3[[#This Row],[P.U.]]</f>
        <v>120.36</v>
      </c>
      <c r="J940" s="183"/>
      <c r="K940"/>
    </row>
    <row r="941" spans="1:11" ht="19.350000000000001" customHeight="1">
      <c r="A941" s="105" t="s">
        <v>267</v>
      </c>
      <c r="B941" s="105" t="s">
        <v>15</v>
      </c>
      <c r="C941" s="116" t="s">
        <v>306</v>
      </c>
      <c r="D941" s="11" t="s">
        <v>307</v>
      </c>
      <c r="F941" s="58"/>
      <c r="G941" s="10"/>
      <c r="H941" s="59">
        <v>58.44</v>
      </c>
      <c r="I941" s="60">
        <f>Tableau3[[#This Row],[Stock final]]*Tableau3[[#This Row],[P.U.]]</f>
        <v>0</v>
      </c>
      <c r="J941" s="183"/>
      <c r="K941"/>
    </row>
    <row r="942" spans="1:11" ht="19.350000000000001" customHeight="1">
      <c r="A942" s="102" t="s">
        <v>267</v>
      </c>
      <c r="B942" s="102" t="s">
        <v>15</v>
      </c>
      <c r="C942" s="116" t="s">
        <v>308</v>
      </c>
      <c r="D942" s="11" t="s">
        <v>309</v>
      </c>
      <c r="F942" s="58"/>
      <c r="G942" s="10"/>
      <c r="H942" s="59">
        <v>61.08</v>
      </c>
      <c r="I942" s="60">
        <f>Tableau3[[#This Row],[Stock final]]*Tableau3[[#This Row],[P.U.]]</f>
        <v>0</v>
      </c>
      <c r="J942" s="183"/>
      <c r="K942"/>
    </row>
    <row r="943" spans="1:11" ht="19.350000000000001" customHeight="1">
      <c r="A943" s="102" t="s">
        <v>267</v>
      </c>
      <c r="B943" s="102" t="s">
        <v>15</v>
      </c>
      <c r="C943" s="116" t="s">
        <v>1226</v>
      </c>
      <c r="D943" s="11" t="s">
        <v>1510</v>
      </c>
      <c r="F943" s="58"/>
      <c r="G943" s="10">
        <v>1</v>
      </c>
      <c r="H943" s="59">
        <v>41.37</v>
      </c>
      <c r="I943" s="60">
        <f>Tableau3[[#This Row],[Stock final]]*Tableau3[[#This Row],[P.U.]]</f>
        <v>41.37</v>
      </c>
      <c r="J943" s="183"/>
      <c r="K943"/>
    </row>
    <row r="944" spans="1:11" ht="19.350000000000001" customHeight="1">
      <c r="A944" s="102" t="s">
        <v>267</v>
      </c>
      <c r="B944" s="102" t="s">
        <v>15</v>
      </c>
      <c r="C944" s="116" t="s">
        <v>1227</v>
      </c>
      <c r="D944" s="11" t="s">
        <v>1511</v>
      </c>
      <c r="F944" s="58"/>
      <c r="G944" s="10">
        <v>2</v>
      </c>
      <c r="H944" s="59">
        <v>34.6</v>
      </c>
      <c r="I944" s="60">
        <f>Tableau3[[#This Row],[Stock final]]*Tableau3[[#This Row],[P.U.]]</f>
        <v>69.2</v>
      </c>
      <c r="J944" s="183"/>
      <c r="K944"/>
    </row>
    <row r="945" spans="1:11" ht="19.350000000000001" customHeight="1">
      <c r="A945" s="102" t="s">
        <v>267</v>
      </c>
      <c r="B945" s="102" t="s">
        <v>15</v>
      </c>
      <c r="C945" s="116" t="s">
        <v>302</v>
      </c>
      <c r="D945" s="11" t="s">
        <v>1512</v>
      </c>
      <c r="F945" s="58"/>
      <c r="G945" s="10">
        <v>1</v>
      </c>
      <c r="H945" s="59">
        <v>38.909999999999997</v>
      </c>
      <c r="I945" s="60">
        <f>Tableau3[[#This Row],[Stock final]]*Tableau3[[#This Row],[P.U.]]</f>
        <v>38.909999999999997</v>
      </c>
      <c r="J945" s="183"/>
      <c r="K945"/>
    </row>
    <row r="946" spans="1:11" ht="19.350000000000001" customHeight="1">
      <c r="A946" s="102" t="s">
        <v>267</v>
      </c>
      <c r="B946" s="102" t="s">
        <v>15</v>
      </c>
      <c r="C946" s="116" t="s">
        <v>1513</v>
      </c>
      <c r="D946" s="11" t="s">
        <v>1514</v>
      </c>
      <c r="F946" s="58"/>
      <c r="G946" s="10">
        <v>1</v>
      </c>
      <c r="H946" s="59"/>
      <c r="I946" s="60">
        <f>Tableau3[[#This Row],[Stock final]]*Tableau3[[#This Row],[P.U.]]</f>
        <v>0</v>
      </c>
      <c r="J946" s="183" t="s">
        <v>1487</v>
      </c>
      <c r="K946"/>
    </row>
    <row r="947" spans="1:11" ht="19.350000000000001" customHeight="1">
      <c r="A947" s="102" t="s">
        <v>267</v>
      </c>
      <c r="B947" s="102"/>
      <c r="C947" s="116"/>
      <c r="F947" s="58"/>
      <c r="G947" s="10"/>
      <c r="H947" s="59"/>
      <c r="I947" s="60">
        <f>Tableau3[[#This Row],[Stock final]]*Tableau3[[#This Row],[P.U.]]</f>
        <v>0</v>
      </c>
      <c r="J947" s="183"/>
      <c r="K947"/>
    </row>
    <row r="948" spans="1:11" ht="19.350000000000001" customHeight="1">
      <c r="A948" s="102" t="s">
        <v>267</v>
      </c>
      <c r="B948" s="102"/>
      <c r="C948" s="116"/>
      <c r="F948" s="58"/>
      <c r="G948" s="10"/>
      <c r="H948" s="59"/>
      <c r="I948" s="60">
        <f>Tableau3[[#This Row],[Stock final]]*Tableau3[[#This Row],[P.U.]]</f>
        <v>0</v>
      </c>
      <c r="J948" s="183"/>
      <c r="K948"/>
    </row>
    <row r="949" spans="1:11" ht="19.350000000000001" customHeight="1">
      <c r="A949" s="102" t="s">
        <v>267</v>
      </c>
      <c r="B949" s="102"/>
      <c r="C949" s="116"/>
      <c r="F949" s="58"/>
      <c r="G949" s="10"/>
      <c r="H949" s="59"/>
      <c r="I949" s="60">
        <f>Tableau3[[#This Row],[Stock final]]*Tableau3[[#This Row],[P.U.]]</f>
        <v>0</v>
      </c>
      <c r="J949" s="183"/>
      <c r="K949"/>
    </row>
    <row r="950" spans="1:11" ht="19.350000000000001" customHeight="1">
      <c r="A950" s="102" t="s">
        <v>267</v>
      </c>
      <c r="B950" s="102"/>
      <c r="C950" s="116"/>
      <c r="F950" s="58"/>
      <c r="G950" s="10"/>
      <c r="H950" s="59"/>
      <c r="I950" s="60">
        <f>Tableau3[[#This Row],[Stock final]]*Tableau3[[#This Row],[P.U.]]</f>
        <v>0</v>
      </c>
      <c r="J950" s="183"/>
      <c r="K950"/>
    </row>
    <row r="951" spans="1:11" ht="19.350000000000001" customHeight="1">
      <c r="A951" s="102" t="s">
        <v>267</v>
      </c>
      <c r="B951" s="102"/>
      <c r="C951" s="116"/>
      <c r="F951" s="58"/>
      <c r="G951" s="10"/>
      <c r="H951" s="59"/>
      <c r="I951" s="60">
        <f>Tableau3[[#This Row],[Stock final]]*Tableau3[[#This Row],[P.U.]]</f>
        <v>0</v>
      </c>
      <c r="J951" s="183"/>
      <c r="K951"/>
    </row>
    <row r="952" spans="1:11" ht="19.350000000000001" customHeight="1">
      <c r="A952" s="102" t="s">
        <v>267</v>
      </c>
      <c r="B952" s="102"/>
      <c r="C952" s="116"/>
      <c r="F952" s="58"/>
      <c r="G952" s="10"/>
      <c r="H952" s="59"/>
      <c r="I952" s="60">
        <f>Tableau3[[#This Row],[Stock final]]*Tableau3[[#This Row],[P.U.]]</f>
        <v>0</v>
      </c>
      <c r="J952" s="183"/>
      <c r="K952"/>
    </row>
    <row r="953" spans="1:11" ht="19.350000000000001" customHeight="1">
      <c r="A953" s="102" t="s">
        <v>267</v>
      </c>
      <c r="B953" s="89"/>
      <c r="C953" s="116"/>
      <c r="F953" s="58"/>
      <c r="G953" s="10"/>
      <c r="H953" s="59"/>
      <c r="I953" s="60">
        <f>Tableau3[[#This Row],[Stock final]]*Tableau3[[#This Row],[P.U.]]</f>
        <v>0</v>
      </c>
      <c r="J953" s="183"/>
      <c r="K953"/>
    </row>
    <row r="954" spans="1:11" ht="19.350000000000001" customHeight="1">
      <c r="A954" s="102" t="s">
        <v>267</v>
      </c>
      <c r="B954" s="102"/>
      <c r="C954" s="116"/>
      <c r="F954" s="58"/>
      <c r="G954" s="10"/>
      <c r="H954" s="59"/>
      <c r="I954" s="60">
        <f>Tableau3[[#This Row],[Stock final]]*Tableau3[[#This Row],[P.U.]]</f>
        <v>0</v>
      </c>
      <c r="J954" s="183"/>
      <c r="K954"/>
    </row>
    <row r="955" spans="1:11" ht="19.350000000000001" customHeight="1">
      <c r="A955" s="102" t="s">
        <v>267</v>
      </c>
      <c r="B955" s="102"/>
      <c r="C955" s="116"/>
      <c r="F955" s="58"/>
      <c r="G955" s="10"/>
      <c r="H955" s="59"/>
      <c r="I955" s="60">
        <f>Tableau3[[#This Row],[Stock final]]*Tableau3[[#This Row],[P.U.]]</f>
        <v>0</v>
      </c>
      <c r="J955" s="183"/>
      <c r="K955"/>
    </row>
    <row r="956" spans="1:11" ht="19.350000000000001" customHeight="1">
      <c r="A956" s="102" t="s">
        <v>267</v>
      </c>
      <c r="B956" s="102"/>
      <c r="C956" s="116"/>
      <c r="F956" s="58"/>
      <c r="G956" s="10"/>
      <c r="H956" s="59"/>
      <c r="I956" s="60">
        <f>Tableau3[[#This Row],[Stock final]]*Tableau3[[#This Row],[P.U.]]</f>
        <v>0</v>
      </c>
      <c r="J956" s="183"/>
      <c r="K956"/>
    </row>
    <row r="957" spans="1:11" ht="19.350000000000001" customHeight="1">
      <c r="A957" s="102" t="s">
        <v>267</v>
      </c>
      <c r="B957" s="102"/>
      <c r="C957" s="116"/>
      <c r="F957" s="58"/>
      <c r="G957" s="10"/>
      <c r="H957" s="59"/>
      <c r="I957" s="60">
        <f>Tableau3[[#This Row],[Stock final]]*Tableau3[[#This Row],[P.U.]]</f>
        <v>0</v>
      </c>
      <c r="J957" s="183"/>
      <c r="K957"/>
    </row>
    <row r="958" spans="1:11" ht="19.350000000000001" customHeight="1">
      <c r="A958" s="102" t="s">
        <v>267</v>
      </c>
      <c r="B958" s="102"/>
      <c r="C958" s="116"/>
      <c r="F958" s="58"/>
      <c r="G958" s="10"/>
      <c r="H958" s="59"/>
      <c r="I958" s="60">
        <f>Tableau3[[#This Row],[Stock final]]*Tableau3[[#This Row],[P.U.]]</f>
        <v>0</v>
      </c>
      <c r="J958" s="183"/>
      <c r="K958"/>
    </row>
    <row r="959" spans="1:11" ht="19.350000000000001" customHeight="1">
      <c r="A959" s="102" t="s">
        <v>267</v>
      </c>
      <c r="B959" s="102"/>
      <c r="C959" s="116"/>
      <c r="F959" s="58"/>
      <c r="G959" s="10"/>
      <c r="H959" s="59"/>
      <c r="I959" s="60">
        <f>Tableau3[[#This Row],[Stock final]]*Tableau3[[#This Row],[P.U.]]</f>
        <v>0</v>
      </c>
      <c r="J959" s="183"/>
      <c r="K959"/>
    </row>
    <row r="960" spans="1:11" ht="19.350000000000001" customHeight="1">
      <c r="A960" s="102" t="s">
        <v>267</v>
      </c>
      <c r="B960" s="102"/>
      <c r="C960" s="116"/>
      <c r="F960" s="58"/>
      <c r="G960" s="10"/>
      <c r="H960" s="59"/>
      <c r="I960" s="60">
        <f>Tableau3[[#This Row],[Stock final]]*Tableau3[[#This Row],[P.U.]]</f>
        <v>0</v>
      </c>
      <c r="J960" s="183"/>
      <c r="K960"/>
    </row>
    <row r="961" spans="1:11" ht="19.350000000000001" customHeight="1">
      <c r="A961" s="102" t="s">
        <v>267</v>
      </c>
      <c r="B961" s="102"/>
      <c r="C961" s="116"/>
      <c r="F961" s="58"/>
      <c r="G961" s="10"/>
      <c r="H961" s="59"/>
      <c r="I961" s="60">
        <f>Tableau3[[#This Row],[Stock final]]*Tableau3[[#This Row],[P.U.]]</f>
        <v>0</v>
      </c>
      <c r="J961" s="183"/>
      <c r="K961"/>
    </row>
    <row r="962" spans="1:11" ht="19.350000000000001" customHeight="1">
      <c r="A962" s="102" t="s">
        <v>267</v>
      </c>
      <c r="B962" s="102"/>
      <c r="C962" s="116"/>
      <c r="F962" s="58"/>
      <c r="G962" s="10"/>
      <c r="H962" s="59"/>
      <c r="I962" s="60">
        <f>Tableau3[[#This Row],[Stock final]]*Tableau3[[#This Row],[P.U.]]</f>
        <v>0</v>
      </c>
      <c r="J962" s="183"/>
      <c r="K962"/>
    </row>
    <row r="963" spans="1:11" ht="19.350000000000001" customHeight="1">
      <c r="A963" s="102" t="s">
        <v>267</v>
      </c>
      <c r="B963" s="102"/>
      <c r="C963" s="116"/>
      <c r="F963" s="58"/>
      <c r="G963" s="10"/>
      <c r="H963" s="59"/>
      <c r="I963" s="60">
        <f>Tableau3[[#This Row],[Stock final]]*Tableau3[[#This Row],[P.U.]]</f>
        <v>0</v>
      </c>
      <c r="J963" s="183"/>
      <c r="K963"/>
    </row>
    <row r="964" spans="1:11" ht="19.350000000000001" customHeight="1">
      <c r="A964" s="102" t="s">
        <v>267</v>
      </c>
      <c r="B964" s="102"/>
      <c r="C964" s="116"/>
      <c r="F964" s="58"/>
      <c r="G964" s="10"/>
      <c r="H964" s="59"/>
      <c r="I964" s="60">
        <f>Tableau3[[#This Row],[Stock final]]*Tableau3[[#This Row],[P.U.]]</f>
        <v>0</v>
      </c>
      <c r="J964" s="183"/>
      <c r="K964"/>
    </row>
    <row r="965" spans="1:11" ht="19.350000000000001" customHeight="1">
      <c r="A965" s="102" t="s">
        <v>267</v>
      </c>
      <c r="B965" s="102"/>
      <c r="C965" s="116"/>
      <c r="F965" s="58"/>
      <c r="G965" s="10"/>
      <c r="H965" s="59"/>
      <c r="I965" s="60">
        <f>Tableau3[[#This Row],[Stock final]]*Tableau3[[#This Row],[P.U.]]</f>
        <v>0</v>
      </c>
      <c r="J965" s="183"/>
      <c r="K965"/>
    </row>
    <row r="966" spans="1:11" ht="19.350000000000001" customHeight="1">
      <c r="A966" s="102" t="s">
        <v>267</v>
      </c>
      <c r="B966" s="102"/>
      <c r="C966" s="116"/>
      <c r="F966" s="58"/>
      <c r="G966" s="10"/>
      <c r="H966" s="59"/>
      <c r="I966" s="60">
        <f>Tableau3[[#This Row],[Stock final]]*Tableau3[[#This Row],[P.U.]]</f>
        <v>0</v>
      </c>
      <c r="J966" s="183"/>
      <c r="K966"/>
    </row>
    <row r="967" spans="1:11" ht="19.350000000000001" customHeight="1">
      <c r="A967" s="102" t="s">
        <v>267</v>
      </c>
      <c r="B967" s="102" t="s">
        <v>15</v>
      </c>
      <c r="C967" s="116" t="s">
        <v>1228</v>
      </c>
      <c r="D967" s="11" t="s">
        <v>1515</v>
      </c>
      <c r="F967" s="58"/>
      <c r="G967" s="10">
        <v>10</v>
      </c>
      <c r="H967" s="59">
        <v>29.79</v>
      </c>
      <c r="I967" s="60">
        <f>Tableau3[[#This Row],[Stock final]]*Tableau3[[#This Row],[P.U.]]</f>
        <v>297.89999999999998</v>
      </c>
      <c r="J967" s="183"/>
      <c r="K967"/>
    </row>
    <row r="968" spans="1:11" ht="19.350000000000001" customHeight="1">
      <c r="A968" s="102" t="s">
        <v>267</v>
      </c>
      <c r="B968" s="102" t="s">
        <v>15</v>
      </c>
      <c r="C968" s="116" t="s">
        <v>1229</v>
      </c>
      <c r="D968" s="11" t="s">
        <v>1516</v>
      </c>
      <c r="F968" s="58"/>
      <c r="G968" s="10">
        <v>10</v>
      </c>
      <c r="H968" s="59">
        <v>18.36</v>
      </c>
      <c r="I968" s="60">
        <f>Tableau3[[#This Row],[Stock final]]*Tableau3[[#This Row],[P.U.]]</f>
        <v>183.6</v>
      </c>
      <c r="J968" s="183"/>
      <c r="K968"/>
    </row>
    <row r="969" spans="1:11" ht="19.350000000000001" customHeight="1">
      <c r="A969" s="102" t="s">
        <v>310</v>
      </c>
      <c r="B969" s="102" t="s">
        <v>15</v>
      </c>
      <c r="C969" s="116" t="s">
        <v>1230</v>
      </c>
      <c r="D969" s="11" t="s">
        <v>1517</v>
      </c>
      <c r="F969" s="58"/>
      <c r="G969" s="10">
        <v>3</v>
      </c>
      <c r="H969" s="59">
        <v>148.13999999999999</v>
      </c>
      <c r="I969" s="60">
        <f>Tableau3[[#This Row],[Stock final]]*Tableau3[[#This Row],[P.U.]]</f>
        <v>444.41999999999996</v>
      </c>
      <c r="J969" s="183"/>
      <c r="K969"/>
    </row>
    <row r="970" spans="1:11" ht="19.350000000000001" customHeight="1">
      <c r="A970" s="102" t="s">
        <v>310</v>
      </c>
      <c r="B970" s="102" t="s">
        <v>15</v>
      </c>
      <c r="C970" s="116" t="s">
        <v>1231</v>
      </c>
      <c r="D970" s="11" t="s">
        <v>1518</v>
      </c>
      <c r="F970" s="58"/>
      <c r="G970" s="10">
        <v>1</v>
      </c>
      <c r="H970" s="59">
        <v>43.88</v>
      </c>
      <c r="I970" s="60">
        <f>Tableau3[[#This Row],[Stock final]]*Tableau3[[#This Row],[P.U.]]</f>
        <v>43.88</v>
      </c>
      <c r="J970" s="183"/>
      <c r="K970"/>
    </row>
    <row r="971" spans="1:11" ht="19.350000000000001" customHeight="1">
      <c r="A971" s="102" t="s">
        <v>310</v>
      </c>
      <c r="B971" s="102" t="s">
        <v>15</v>
      </c>
      <c r="C971" s="116" t="s">
        <v>1519</v>
      </c>
      <c r="D971" s="11" t="s">
        <v>1520</v>
      </c>
      <c r="F971" s="58"/>
      <c r="G971" s="10">
        <v>1</v>
      </c>
      <c r="H971" s="59">
        <v>34.65</v>
      </c>
      <c r="I971" s="60">
        <f>Tableau3[[#This Row],[Stock final]]*Tableau3[[#This Row],[P.U.]]</f>
        <v>34.65</v>
      </c>
      <c r="J971" s="183"/>
      <c r="K971"/>
    </row>
    <row r="972" spans="1:11" ht="19.350000000000001" customHeight="1">
      <c r="A972" s="102" t="s">
        <v>310</v>
      </c>
      <c r="B972" s="102" t="s">
        <v>15</v>
      </c>
      <c r="C972" s="116" t="s">
        <v>1521</v>
      </c>
      <c r="D972" s="11" t="s">
        <v>1523</v>
      </c>
      <c r="F972" s="58"/>
      <c r="G972" s="10">
        <v>1</v>
      </c>
      <c r="H972" s="59">
        <v>21.83</v>
      </c>
      <c r="I972" s="60">
        <f>Tableau3[[#This Row],[Stock final]]*Tableau3[[#This Row],[P.U.]]</f>
        <v>21.83</v>
      </c>
      <c r="J972" s="183"/>
      <c r="K972"/>
    </row>
    <row r="973" spans="1:11" ht="19.350000000000001" customHeight="1">
      <c r="A973" s="102" t="s">
        <v>310</v>
      </c>
      <c r="B973" s="102" t="s">
        <v>15</v>
      </c>
      <c r="C973" s="116" t="s">
        <v>1522</v>
      </c>
      <c r="D973" s="11" t="s">
        <v>1524</v>
      </c>
      <c r="F973" s="58"/>
      <c r="G973" s="10">
        <v>1</v>
      </c>
      <c r="H973" s="59">
        <v>28.19</v>
      </c>
      <c r="I973" s="60">
        <f>Tableau3[[#This Row],[Stock final]]*Tableau3[[#This Row],[P.U.]]</f>
        <v>28.19</v>
      </c>
      <c r="J973" s="183"/>
      <c r="K973"/>
    </row>
    <row r="974" spans="1:11" ht="19.350000000000001" customHeight="1">
      <c r="A974" s="102" t="s">
        <v>310</v>
      </c>
      <c r="B974" s="102"/>
      <c r="C974" s="116"/>
      <c r="F974" s="58"/>
      <c r="G974" s="10"/>
      <c r="H974" s="59"/>
      <c r="I974" s="60">
        <f>Tableau3[[#This Row],[Stock final]]*Tableau3[[#This Row],[P.U.]]</f>
        <v>0</v>
      </c>
      <c r="J974" s="183"/>
      <c r="K974"/>
    </row>
    <row r="975" spans="1:11" ht="19.350000000000001" customHeight="1">
      <c r="A975" s="102" t="s">
        <v>310</v>
      </c>
      <c r="B975" s="102" t="s">
        <v>15</v>
      </c>
      <c r="C975" s="116" t="s">
        <v>1232</v>
      </c>
      <c r="D975" s="11" t="s">
        <v>1525</v>
      </c>
      <c r="F975" s="58"/>
      <c r="G975" s="10">
        <v>4</v>
      </c>
      <c r="H975" s="59">
        <v>384.68</v>
      </c>
      <c r="I975" s="60">
        <f>Tableau3[[#This Row],[Stock final]]*Tableau3[[#This Row],[P.U.]]</f>
        <v>1538.72</v>
      </c>
      <c r="J975" s="183"/>
      <c r="K975"/>
    </row>
    <row r="976" spans="1:11" ht="19.350000000000001" customHeight="1">
      <c r="A976" s="102" t="s">
        <v>310</v>
      </c>
      <c r="B976" s="102"/>
      <c r="C976" s="116"/>
      <c r="F976" s="58"/>
      <c r="G976" s="10"/>
      <c r="H976" s="59"/>
      <c r="I976" s="60">
        <f>Tableau3[[#This Row],[Stock final]]*Tableau3[[#This Row],[P.U.]]</f>
        <v>0</v>
      </c>
      <c r="J976" s="183"/>
      <c r="K976"/>
    </row>
    <row r="977" spans="1:11" ht="19.350000000000001" customHeight="1">
      <c r="A977" s="102" t="s">
        <v>310</v>
      </c>
      <c r="B977" s="102" t="s">
        <v>15</v>
      </c>
      <c r="C977" s="116" t="s">
        <v>1233</v>
      </c>
      <c r="D977" s="11" t="s">
        <v>1526</v>
      </c>
      <c r="F977" s="58"/>
      <c r="G977" s="10">
        <v>1</v>
      </c>
      <c r="H977" s="59"/>
      <c r="I977" s="60">
        <f>Tableau3[[#This Row],[Stock final]]*Tableau3[[#This Row],[P.U.]]</f>
        <v>0</v>
      </c>
      <c r="J977" s="183" t="s">
        <v>1487</v>
      </c>
      <c r="K977"/>
    </row>
    <row r="978" spans="1:11" ht="19.350000000000001" customHeight="1">
      <c r="A978" s="102" t="s">
        <v>310</v>
      </c>
      <c r="B978" s="102" t="s">
        <v>15</v>
      </c>
      <c r="C978" s="116" t="s">
        <v>1527</v>
      </c>
      <c r="D978" s="11" t="s">
        <v>1528</v>
      </c>
      <c r="F978" s="58"/>
      <c r="G978" s="10">
        <v>5</v>
      </c>
      <c r="H978" s="59">
        <v>48.65</v>
      </c>
      <c r="I978" s="60">
        <f>Tableau3[[#This Row],[Stock final]]*Tableau3[[#This Row],[P.U.]]</f>
        <v>243.25</v>
      </c>
      <c r="J978" s="183"/>
      <c r="K978"/>
    </row>
    <row r="979" spans="1:11" ht="19.350000000000001" customHeight="1">
      <c r="A979" s="102" t="s">
        <v>310</v>
      </c>
      <c r="B979" s="102" t="s">
        <v>15</v>
      </c>
      <c r="C979" s="116" t="s">
        <v>1529</v>
      </c>
      <c r="D979" s="11" t="s">
        <v>1530</v>
      </c>
      <c r="F979" s="58"/>
      <c r="G979" s="10">
        <v>2</v>
      </c>
      <c r="H979" s="59">
        <v>36.119999999999997</v>
      </c>
      <c r="I979" s="60">
        <f>Tableau3[[#This Row],[Stock final]]*Tableau3[[#This Row],[P.U.]]</f>
        <v>72.239999999999995</v>
      </c>
      <c r="J979" s="183"/>
      <c r="K979"/>
    </row>
    <row r="980" spans="1:11" ht="19.350000000000001" customHeight="1">
      <c r="A980" s="102" t="s">
        <v>310</v>
      </c>
      <c r="B980" s="102" t="s">
        <v>15</v>
      </c>
      <c r="C980" s="116" t="s">
        <v>1531</v>
      </c>
      <c r="D980" s="11" t="s">
        <v>1532</v>
      </c>
      <c r="F980" s="58"/>
      <c r="G980" s="10">
        <v>2</v>
      </c>
      <c r="H980" s="59">
        <v>46.7</v>
      </c>
      <c r="I980" s="60">
        <f>Tableau3[[#This Row],[Stock final]]*Tableau3[[#This Row],[P.U.]]</f>
        <v>93.4</v>
      </c>
      <c r="J980" s="183"/>
      <c r="K980"/>
    </row>
    <row r="981" spans="1:11" ht="19.350000000000001" customHeight="1">
      <c r="A981" s="102" t="s">
        <v>310</v>
      </c>
      <c r="B981" s="102" t="s">
        <v>15</v>
      </c>
      <c r="C981" s="116" t="s">
        <v>1533</v>
      </c>
      <c r="D981" s="11" t="s">
        <v>1534</v>
      </c>
      <c r="F981" s="58"/>
      <c r="G981" s="10">
        <v>1</v>
      </c>
      <c r="H981" s="103">
        <v>19.940000000000001</v>
      </c>
      <c r="I981" s="60">
        <f>Tableau3[[#This Row],[Stock final]]*Tableau3[[#This Row],[P.U.]]</f>
        <v>19.940000000000001</v>
      </c>
      <c r="J981" s="183"/>
      <c r="K981"/>
    </row>
    <row r="982" spans="1:11" ht="19.350000000000001" customHeight="1">
      <c r="A982" s="102" t="s">
        <v>310</v>
      </c>
      <c r="B982" s="102" t="s">
        <v>15</v>
      </c>
      <c r="C982" s="116" t="s">
        <v>1535</v>
      </c>
      <c r="D982" s="11" t="s">
        <v>1536</v>
      </c>
      <c r="F982" s="107"/>
      <c r="G982" s="10">
        <v>1</v>
      </c>
      <c r="H982" s="59">
        <v>464.32</v>
      </c>
      <c r="I982" s="60">
        <f>Tableau3[[#This Row],[Stock final]]*Tableau3[[#This Row],[P.U.]]</f>
        <v>464.32</v>
      </c>
      <c r="J982" s="183"/>
      <c r="K982"/>
    </row>
    <row r="983" spans="1:11" ht="19.350000000000001" customHeight="1">
      <c r="A983" s="102" t="s">
        <v>310</v>
      </c>
      <c r="B983" s="102" t="s">
        <v>15</v>
      </c>
      <c r="C983" s="116" t="s">
        <v>1537</v>
      </c>
      <c r="D983" s="11" t="s">
        <v>1538</v>
      </c>
      <c r="F983" s="58"/>
      <c r="G983" s="10">
        <v>1</v>
      </c>
      <c r="H983" s="59"/>
      <c r="I983" s="60">
        <f>Tableau3[[#This Row],[Stock final]]*Tableau3[[#This Row],[P.U.]]</f>
        <v>0</v>
      </c>
      <c r="J983" s="183" t="s">
        <v>1487</v>
      </c>
      <c r="K983"/>
    </row>
    <row r="984" spans="1:11" ht="19.350000000000001" customHeight="1">
      <c r="A984" s="102"/>
      <c r="B984" s="102"/>
      <c r="C984" s="116"/>
      <c r="F984" s="58"/>
      <c r="G984" s="10"/>
      <c r="H984" s="59"/>
      <c r="I984" s="60">
        <f>Tableau3[[#This Row],[Stock final]]*Tableau3[[#This Row],[P.U.]]</f>
        <v>0</v>
      </c>
      <c r="J984" s="183"/>
      <c r="K984"/>
    </row>
    <row r="985" spans="1:11" ht="19.350000000000001" customHeight="1">
      <c r="A985" s="105"/>
      <c r="B985" s="154"/>
      <c r="C985" s="116"/>
      <c r="F985" s="58"/>
      <c r="G985" s="10"/>
      <c r="H985" s="59"/>
      <c r="I985" s="60">
        <f>Tableau3[[#This Row],[Stock final]]*Tableau3[[#This Row],[P.U.]]</f>
        <v>0</v>
      </c>
      <c r="J985" s="183"/>
      <c r="K985"/>
    </row>
    <row r="986" spans="1:11" ht="19.350000000000001" customHeight="1">
      <c r="A986" s="102"/>
      <c r="B986" s="89"/>
      <c r="C986" s="116"/>
      <c r="F986" s="58"/>
      <c r="G986" s="10"/>
      <c r="H986" s="59"/>
      <c r="I986" s="60">
        <f>Tableau3[[#This Row],[Stock final]]*Tableau3[[#This Row],[P.U.]]</f>
        <v>0</v>
      </c>
      <c r="J986" s="183"/>
      <c r="K986"/>
    </row>
    <row r="987" spans="1:11" ht="19.350000000000001" customHeight="1">
      <c r="A987" s="102"/>
      <c r="B987" s="89"/>
      <c r="C987" s="116"/>
      <c r="F987" s="58"/>
      <c r="G987" s="10"/>
      <c r="H987" s="90"/>
      <c r="I987" s="60">
        <f>Tableau3[[#This Row],[Stock final]]*Tableau3[[#This Row],[P.U.]]</f>
        <v>0</v>
      </c>
      <c r="J987" s="183"/>
      <c r="K987"/>
    </row>
    <row r="988" spans="1:11" ht="19.350000000000001" customHeight="1">
      <c r="A988" s="102"/>
      <c r="B988" s="89"/>
      <c r="C988" s="116"/>
      <c r="F988" s="58"/>
      <c r="G988" s="10"/>
      <c r="H988" s="59"/>
      <c r="I988" s="60">
        <f>Tableau3[[#This Row],[Stock final]]*Tableau3[[#This Row],[P.U.]]</f>
        <v>0</v>
      </c>
      <c r="J988" s="183"/>
      <c r="K988"/>
    </row>
    <row r="989" spans="1:11" ht="19.350000000000001" customHeight="1">
      <c r="A989" s="102"/>
      <c r="B989" s="89"/>
      <c r="C989" s="116"/>
      <c r="F989" s="58"/>
      <c r="G989" s="10"/>
      <c r="H989" s="90"/>
      <c r="I989" s="60">
        <f>Tableau3[[#This Row],[Stock final]]*Tableau3[[#This Row],[P.U.]]</f>
        <v>0</v>
      </c>
      <c r="J989" s="183"/>
      <c r="K989"/>
    </row>
    <row r="990" spans="1:11" ht="19.350000000000001" customHeight="1">
      <c r="A990" s="102"/>
      <c r="B990" s="89"/>
      <c r="C990" s="116"/>
      <c r="F990" s="58"/>
      <c r="G990" s="10"/>
      <c r="H990" s="59"/>
      <c r="I990" s="60">
        <f>Tableau3[[#This Row],[Stock final]]*Tableau3[[#This Row],[P.U.]]</f>
        <v>0</v>
      </c>
      <c r="J990" s="183"/>
      <c r="K990"/>
    </row>
    <row r="991" spans="1:11" ht="19.350000000000001" customHeight="1">
      <c r="A991" s="102"/>
      <c r="B991" s="89"/>
      <c r="C991" s="116"/>
      <c r="F991" s="58"/>
      <c r="G991" s="10"/>
      <c r="H991" s="59"/>
      <c r="I991" s="60">
        <f>Tableau3[[#This Row],[Stock final]]*Tableau3[[#This Row],[P.U.]]</f>
        <v>0</v>
      </c>
      <c r="J991" s="183"/>
      <c r="K991"/>
    </row>
    <row r="992" spans="1:11" ht="19.350000000000001" customHeight="1">
      <c r="A992" s="102"/>
      <c r="B992" s="89"/>
      <c r="C992" s="116"/>
      <c r="F992" s="58"/>
      <c r="G992" s="10"/>
      <c r="H992" s="59"/>
      <c r="I992" s="60">
        <f>Tableau3[[#This Row],[Stock final]]*Tableau3[[#This Row],[P.U.]]</f>
        <v>0</v>
      </c>
      <c r="J992" s="183"/>
      <c r="K992"/>
    </row>
    <row r="993" spans="1:11" ht="19.350000000000001" customHeight="1">
      <c r="A993" s="102"/>
      <c r="B993" s="89"/>
      <c r="C993" s="116"/>
      <c r="F993" s="58"/>
      <c r="G993" s="10"/>
      <c r="H993" s="59"/>
      <c r="I993" s="60">
        <f>Tableau3[[#This Row],[Stock final]]*Tableau3[[#This Row],[P.U.]]</f>
        <v>0</v>
      </c>
      <c r="J993" s="183"/>
      <c r="K993"/>
    </row>
    <row r="994" spans="1:11" ht="19.350000000000001" customHeight="1">
      <c r="A994" s="102"/>
      <c r="B994" s="89"/>
      <c r="C994" s="116"/>
      <c r="F994" s="58"/>
      <c r="G994" s="10"/>
      <c r="H994" s="59"/>
      <c r="I994" s="60">
        <f>Tableau3[[#This Row],[Stock final]]*Tableau3[[#This Row],[P.U.]]</f>
        <v>0</v>
      </c>
      <c r="J994" s="183"/>
      <c r="K994"/>
    </row>
    <row r="995" spans="1:11" ht="19.350000000000001" customHeight="1">
      <c r="A995" s="102"/>
      <c r="B995" s="89"/>
      <c r="C995" s="116"/>
      <c r="F995" s="58"/>
      <c r="G995" s="10"/>
      <c r="H995" s="59"/>
      <c r="I995" s="60">
        <f>Tableau3[[#This Row],[Stock final]]*Tableau3[[#This Row],[P.U.]]</f>
        <v>0</v>
      </c>
      <c r="J995" s="183"/>
      <c r="K995"/>
    </row>
    <row r="996" spans="1:11" ht="19.350000000000001" customHeight="1">
      <c r="A996" s="102"/>
      <c r="B996" s="89"/>
      <c r="C996" s="116"/>
      <c r="F996" s="58"/>
      <c r="G996" s="10"/>
      <c r="H996" s="59"/>
      <c r="I996" s="60">
        <f>Tableau3[[#This Row],[Stock final]]*Tableau3[[#This Row],[P.U.]]</f>
        <v>0</v>
      </c>
      <c r="J996" s="183"/>
      <c r="K996"/>
    </row>
    <row r="997" spans="1:11" ht="19.350000000000001" customHeight="1">
      <c r="A997" s="105"/>
      <c r="B997" s="148"/>
      <c r="C997" s="116"/>
      <c r="F997" s="58"/>
      <c r="G997" s="10"/>
      <c r="H997" s="59"/>
      <c r="I997" s="60">
        <f>Tableau3[[#This Row],[Stock final]]*Tableau3[[#This Row],[P.U.]]</f>
        <v>0</v>
      </c>
      <c r="J997" s="183"/>
      <c r="K997"/>
    </row>
    <row r="998" spans="1:11" ht="19.350000000000001" customHeight="1">
      <c r="A998" s="102"/>
      <c r="B998" s="89"/>
      <c r="C998" s="116"/>
      <c r="F998" s="58"/>
      <c r="G998" s="10"/>
      <c r="H998" s="59"/>
      <c r="I998" s="60">
        <f>Tableau3[[#This Row],[Stock final]]*Tableau3[[#This Row],[P.U.]]</f>
        <v>0</v>
      </c>
      <c r="J998" s="183"/>
      <c r="K998"/>
    </row>
    <row r="999" spans="1:11" ht="19.350000000000001" customHeight="1">
      <c r="A999" s="102"/>
      <c r="B999" s="96"/>
      <c r="C999" s="116"/>
      <c r="F999" s="58"/>
      <c r="G999" s="10"/>
      <c r="H999" s="59"/>
      <c r="I999" s="60">
        <f>Tableau3[[#This Row],[Stock final]]*Tableau3[[#This Row],[P.U.]]</f>
        <v>0</v>
      </c>
      <c r="J999" s="183"/>
      <c r="K999"/>
    </row>
    <row r="1000" spans="1:11" ht="19.350000000000001" customHeight="1">
      <c r="A1000" s="102"/>
      <c r="B1000" s="102"/>
      <c r="C1000" s="116"/>
      <c r="F1000" s="107"/>
      <c r="G1000" s="10"/>
      <c r="H1000" s="103"/>
      <c r="I1000" s="108">
        <f>Tableau3[[#This Row],[Stock final]]*Tableau3[[#This Row],[P.U.]]</f>
        <v>0</v>
      </c>
      <c r="J1000" s="183"/>
      <c r="K1000"/>
    </row>
    <row r="1001" spans="1:11" ht="19.350000000000001" customHeight="1">
      <c r="A1001" s="102"/>
      <c r="B1001" s="102"/>
      <c r="C1001" s="116"/>
      <c r="F1001" s="107"/>
      <c r="G1001" s="10"/>
      <c r="H1001" s="103"/>
      <c r="I1001" s="108">
        <f>Tableau3[[#This Row],[Stock final]]*Tableau3[[#This Row],[P.U.]]</f>
        <v>0</v>
      </c>
      <c r="J1001" s="183"/>
      <c r="K1001"/>
    </row>
    <row r="1002" spans="1:11" ht="19.350000000000001" customHeight="1">
      <c r="A1002" s="102"/>
      <c r="B1002" s="102"/>
      <c r="C1002" s="116"/>
      <c r="F1002" s="107"/>
      <c r="G1002" s="10"/>
      <c r="H1002" s="103"/>
      <c r="I1002" s="108">
        <f>Tableau3[[#This Row],[Stock final]]*Tableau3[[#This Row],[P.U.]]</f>
        <v>0</v>
      </c>
      <c r="J1002" s="183"/>
      <c r="K1002"/>
    </row>
    <row r="1003" spans="1:11" ht="19.350000000000001" customHeight="1">
      <c r="A1003" s="102"/>
      <c r="B1003" s="102"/>
      <c r="C1003" s="116"/>
      <c r="F1003" s="107"/>
      <c r="G1003" s="10"/>
      <c r="H1003" s="103"/>
      <c r="I1003" s="108">
        <f>Tableau3[[#This Row],[Stock final]]*Tableau3[[#This Row],[P.U.]]</f>
        <v>0</v>
      </c>
      <c r="J1003" s="183"/>
      <c r="K1003"/>
    </row>
    <row r="1004" spans="1:11" ht="19.350000000000001" customHeight="1">
      <c r="A1004" s="102"/>
      <c r="B1004" s="102"/>
      <c r="C1004" s="116"/>
      <c r="F1004" s="107"/>
      <c r="G1004" s="10"/>
      <c r="H1004" s="103"/>
      <c r="I1004" s="108">
        <f>Tableau3[[#This Row],[Stock final]]*Tableau3[[#This Row],[P.U.]]</f>
        <v>0</v>
      </c>
      <c r="J1004" s="183"/>
      <c r="K1004"/>
    </row>
    <row r="1005" spans="1:11" ht="19.350000000000001" customHeight="1">
      <c r="A1005" s="102"/>
      <c r="B1005" s="102"/>
      <c r="C1005" s="116"/>
      <c r="F1005" s="107"/>
      <c r="G1005" s="10"/>
      <c r="H1005" s="103"/>
      <c r="I1005" s="108">
        <f>Tableau3[[#This Row],[Stock final]]*Tableau3[[#This Row],[P.U.]]</f>
        <v>0</v>
      </c>
      <c r="J1005" s="183"/>
      <c r="K1005"/>
    </row>
    <row r="1006" spans="1:11" ht="19.350000000000001" customHeight="1">
      <c r="A1006" s="102"/>
      <c r="B1006" s="102"/>
      <c r="C1006" s="116"/>
      <c r="F1006" s="107"/>
      <c r="G1006" s="10"/>
      <c r="H1006" s="103"/>
      <c r="I1006" s="108">
        <f>Tableau3[[#This Row],[Stock final]]*Tableau3[[#This Row],[P.U.]]</f>
        <v>0</v>
      </c>
      <c r="J1006" s="183"/>
      <c r="K1006"/>
    </row>
    <row r="1007" spans="1:11" ht="19.350000000000001" customHeight="1">
      <c r="A1007" s="102"/>
      <c r="B1007" s="102"/>
      <c r="C1007" s="116"/>
      <c r="F1007" s="107"/>
      <c r="G1007" s="10"/>
      <c r="H1007" s="103"/>
      <c r="I1007" s="108">
        <f>Tableau3[[#This Row],[Stock final]]*Tableau3[[#This Row],[P.U.]]</f>
        <v>0</v>
      </c>
      <c r="J1007" s="183"/>
      <c r="K1007"/>
    </row>
    <row r="1008" spans="1:11" ht="19.350000000000001" customHeight="1">
      <c r="A1008" s="102"/>
      <c r="B1008" s="102"/>
      <c r="C1008" s="116"/>
      <c r="F1008" s="107"/>
      <c r="G1008" s="10"/>
      <c r="H1008" s="103"/>
      <c r="I1008" s="108">
        <f>Tableau3[[#This Row],[Stock final]]*Tableau3[[#This Row],[P.U.]]</f>
        <v>0</v>
      </c>
      <c r="J1008" s="183"/>
      <c r="K1008"/>
    </row>
    <row r="1009" spans="1:11" ht="19.350000000000001" customHeight="1">
      <c r="A1009" s="102"/>
      <c r="B1009" s="102"/>
      <c r="C1009" s="116"/>
      <c r="F1009" s="107"/>
      <c r="G1009" s="10"/>
      <c r="H1009" s="103"/>
      <c r="I1009" s="108">
        <f>Tableau3[[#This Row],[Stock final]]*Tableau3[[#This Row],[P.U.]]</f>
        <v>0</v>
      </c>
      <c r="J1009" s="183"/>
      <c r="K1009"/>
    </row>
    <row r="1010" spans="1:11" ht="19.350000000000001" customHeight="1">
      <c r="A1010" s="102"/>
      <c r="B1010" s="102"/>
      <c r="C1010" s="116"/>
      <c r="F1010" s="107"/>
      <c r="G1010" s="10"/>
      <c r="H1010" s="103"/>
      <c r="I1010" s="108">
        <f>Tableau3[[#This Row],[Stock final]]*Tableau3[[#This Row],[P.U.]]</f>
        <v>0</v>
      </c>
      <c r="J1010" s="183"/>
      <c r="K1010"/>
    </row>
    <row r="1011" spans="1:11" ht="19.350000000000001" customHeight="1">
      <c r="A1011" s="102"/>
      <c r="B1011" s="102"/>
      <c r="C1011" s="116"/>
      <c r="F1011" s="107"/>
      <c r="G1011" s="10"/>
      <c r="H1011" s="103"/>
      <c r="I1011" s="108">
        <f>Tableau3[[#This Row],[Stock final]]*Tableau3[[#This Row],[P.U.]]</f>
        <v>0</v>
      </c>
      <c r="J1011" s="183"/>
      <c r="K1011"/>
    </row>
    <row r="1012" spans="1:11" ht="19.350000000000001" customHeight="1">
      <c r="A1012" s="102"/>
      <c r="B1012" s="102"/>
      <c r="C1012" s="116"/>
      <c r="F1012" s="107"/>
      <c r="G1012" s="10"/>
      <c r="H1012" s="103"/>
      <c r="I1012" s="108">
        <f>Tableau3[[#This Row],[Stock final]]*Tableau3[[#This Row],[P.U.]]</f>
        <v>0</v>
      </c>
      <c r="J1012" s="183"/>
      <c r="K1012"/>
    </row>
    <row r="1013" spans="1:11" ht="19.350000000000001" customHeight="1">
      <c r="A1013" s="102"/>
      <c r="B1013" s="102"/>
      <c r="C1013" s="116"/>
      <c r="F1013" s="107"/>
      <c r="G1013" s="10"/>
      <c r="H1013" s="103"/>
      <c r="I1013" s="108">
        <f>Tableau3[[#This Row],[Stock final]]*Tableau3[[#This Row],[P.U.]]</f>
        <v>0</v>
      </c>
      <c r="J1013" s="183"/>
      <c r="K1013"/>
    </row>
    <row r="1014" spans="1:11" ht="19.350000000000001" customHeight="1">
      <c r="A1014" s="102"/>
      <c r="B1014" s="102"/>
      <c r="C1014" s="116"/>
      <c r="F1014" s="107"/>
      <c r="G1014" s="10"/>
      <c r="H1014" s="103"/>
      <c r="I1014" s="108">
        <f>Tableau3[[#This Row],[Stock final]]*Tableau3[[#This Row],[P.U.]]</f>
        <v>0</v>
      </c>
      <c r="J1014" s="183"/>
      <c r="K1014"/>
    </row>
    <row r="1015" spans="1:11" ht="19.350000000000001" customHeight="1">
      <c r="A1015" s="102"/>
      <c r="B1015" s="102"/>
      <c r="C1015" s="116"/>
      <c r="F1015" s="107"/>
      <c r="G1015" s="10"/>
      <c r="H1015" s="103"/>
      <c r="I1015" s="108">
        <f>Tableau3[[#This Row],[Stock final]]*Tableau3[[#This Row],[P.U.]]</f>
        <v>0</v>
      </c>
      <c r="J1015" s="183"/>
      <c r="K1015"/>
    </row>
    <row r="1016" spans="1:11" ht="19.350000000000001" customHeight="1">
      <c r="A1016" s="102"/>
      <c r="B1016" s="102"/>
      <c r="C1016" s="116"/>
      <c r="F1016" s="107"/>
      <c r="G1016" s="10"/>
      <c r="H1016" s="103"/>
      <c r="I1016" s="108">
        <f>Tableau3[[#This Row],[Stock final]]*Tableau3[[#This Row],[P.U.]]</f>
        <v>0</v>
      </c>
      <c r="J1016" s="183"/>
      <c r="K1016"/>
    </row>
    <row r="1017" spans="1:11" ht="19.350000000000001" customHeight="1">
      <c r="A1017" s="102"/>
      <c r="B1017" s="102"/>
      <c r="C1017" s="116"/>
      <c r="F1017" s="107"/>
      <c r="G1017" s="10"/>
      <c r="H1017" s="103"/>
      <c r="I1017" s="108">
        <f>Tableau3[[#This Row],[Stock final]]*Tableau3[[#This Row],[P.U.]]</f>
        <v>0</v>
      </c>
      <c r="J1017" s="183"/>
      <c r="K1017"/>
    </row>
    <row r="1018" spans="1:11" ht="19.350000000000001" customHeight="1">
      <c r="A1018" s="102"/>
      <c r="B1018" s="96"/>
      <c r="C1018" s="116"/>
      <c r="F1018" s="58"/>
      <c r="G1018" s="10"/>
      <c r="H1018" s="59"/>
      <c r="I1018" s="60">
        <f>Tableau3[[#This Row],[Stock final]]*Tableau3[[#This Row],[P.U.]]</f>
        <v>0</v>
      </c>
      <c r="J1018" s="183"/>
      <c r="K1018"/>
    </row>
    <row r="1019" spans="1:11" ht="19.350000000000001" customHeight="1">
      <c r="A1019" s="102"/>
      <c r="B1019" s="96"/>
      <c r="C1019" s="146"/>
      <c r="F1019" s="58"/>
      <c r="G1019" s="10"/>
      <c r="H1019" s="59"/>
      <c r="I1019" s="60">
        <f>Tableau3[[#This Row],[Stock final]]*Tableau3[[#This Row],[P.U.]]</f>
        <v>0</v>
      </c>
      <c r="J1019" s="183"/>
      <c r="K1019"/>
    </row>
    <row r="1020" spans="1:11" ht="19.350000000000001" customHeight="1">
      <c r="A1020" s="102"/>
      <c r="B1020" s="96"/>
      <c r="C1020" s="116"/>
      <c r="F1020" s="58"/>
      <c r="G1020" s="10"/>
      <c r="H1020" s="59"/>
      <c r="I1020" s="60">
        <f>Tableau3[[#This Row],[Stock final]]*Tableau3[[#This Row],[P.U.]]</f>
        <v>0</v>
      </c>
      <c r="J1020" s="183"/>
      <c r="K1020"/>
    </row>
    <row r="1021" spans="1:11" ht="19.350000000000001" customHeight="1">
      <c r="A1021" s="102"/>
      <c r="B1021" s="62"/>
      <c r="C1021" s="116"/>
      <c r="F1021" s="58"/>
      <c r="G1021" s="10"/>
      <c r="H1021" s="59"/>
      <c r="I1021" s="60">
        <f>Tableau3[[#This Row],[Stock final]]*Tableau3[[#This Row],[P.U.]]</f>
        <v>0</v>
      </c>
      <c r="J1021" s="183"/>
      <c r="K1021"/>
    </row>
    <row r="1022" spans="1:11" ht="19.350000000000001" customHeight="1">
      <c r="A1022" s="102"/>
      <c r="B1022" s="96"/>
      <c r="C1022" s="116"/>
      <c r="F1022" s="58"/>
      <c r="G1022" s="10"/>
      <c r="H1022" s="59"/>
      <c r="I1022" s="60">
        <f>Tableau3[[#This Row],[Stock final]]*Tableau3[[#This Row],[P.U.]]</f>
        <v>0</v>
      </c>
      <c r="J1022" s="183"/>
      <c r="K1022"/>
    </row>
    <row r="1023" spans="1:11" ht="19.350000000000001" customHeight="1">
      <c r="A1023" s="102"/>
      <c r="B1023" s="96"/>
      <c r="C1023" s="116"/>
      <c r="F1023" s="58"/>
      <c r="G1023" s="10"/>
      <c r="H1023" s="59"/>
      <c r="I1023" s="60">
        <f>Tableau3[[#This Row],[Stock final]]*Tableau3[[#This Row],[P.U.]]</f>
        <v>0</v>
      </c>
      <c r="J1023" s="183"/>
      <c r="K1023"/>
    </row>
    <row r="1024" spans="1:11" ht="19.350000000000001" customHeight="1">
      <c r="A1024" s="102"/>
      <c r="B1024" s="102"/>
      <c r="C1024" s="116"/>
      <c r="F1024" s="58"/>
      <c r="G1024" s="10"/>
      <c r="H1024" s="59"/>
      <c r="I1024" s="60">
        <f>Tableau3[[#This Row],[Stock final]]*Tableau3[[#This Row],[P.U.]]</f>
        <v>0</v>
      </c>
      <c r="J1024" s="183"/>
      <c r="K1024"/>
    </row>
    <row r="1025" spans="1:11" ht="19.350000000000001" customHeight="1">
      <c r="A1025" s="102"/>
      <c r="B1025" s="102"/>
      <c r="C1025" s="116"/>
      <c r="F1025" s="58"/>
      <c r="G1025" s="10"/>
      <c r="H1025" s="59"/>
      <c r="I1025" s="60">
        <f>Tableau3[[#This Row],[Stock final]]*Tableau3[[#This Row],[P.U.]]</f>
        <v>0</v>
      </c>
      <c r="J1025" s="183"/>
      <c r="K1025"/>
    </row>
    <row r="1026" spans="1:11" ht="19.350000000000001" customHeight="1">
      <c r="A1026" s="102"/>
      <c r="B1026" s="96"/>
      <c r="C1026" s="116"/>
      <c r="F1026" s="58"/>
      <c r="G1026" s="10"/>
      <c r="H1026" s="59"/>
      <c r="I1026" s="60">
        <f>Tableau3[[#This Row],[Stock final]]*Tableau3[[#This Row],[P.U.]]</f>
        <v>0</v>
      </c>
      <c r="J1026" s="183"/>
      <c r="K1026"/>
    </row>
    <row r="1027" spans="1:11" ht="19.350000000000001" customHeight="1">
      <c r="A1027" s="102"/>
      <c r="B1027" s="96"/>
      <c r="C1027" s="116"/>
      <c r="F1027" s="58"/>
      <c r="G1027" s="10"/>
      <c r="H1027" s="59"/>
      <c r="I1027" s="60">
        <f>Tableau3[[#This Row],[Stock final]]*Tableau3[[#This Row],[P.U.]]</f>
        <v>0</v>
      </c>
      <c r="J1027" s="183"/>
      <c r="K1027"/>
    </row>
    <row r="1028" spans="1:11" ht="19.350000000000001" customHeight="1">
      <c r="A1028" s="102"/>
      <c r="B1028" s="96"/>
      <c r="C1028" s="116"/>
      <c r="F1028" s="58"/>
      <c r="G1028" s="10"/>
      <c r="H1028" s="59"/>
      <c r="I1028" s="60">
        <f>Tableau3[[#This Row],[Stock final]]*Tableau3[[#This Row],[P.U.]]</f>
        <v>0</v>
      </c>
      <c r="J1028" s="183"/>
      <c r="K1028"/>
    </row>
    <row r="1029" spans="1:11" ht="19.350000000000001" customHeight="1">
      <c r="A1029" s="102"/>
      <c r="B1029" s="96"/>
      <c r="C1029" s="116"/>
      <c r="F1029" s="58"/>
      <c r="G1029" s="10"/>
      <c r="H1029" s="59"/>
      <c r="I1029" s="60">
        <f>Tableau3[[#This Row],[Stock final]]*Tableau3[[#This Row],[P.U.]]</f>
        <v>0</v>
      </c>
      <c r="J1029" s="183"/>
      <c r="K1029"/>
    </row>
    <row r="1030" spans="1:11" ht="19.350000000000001" customHeight="1">
      <c r="A1030" s="102"/>
      <c r="B1030" s="96"/>
      <c r="C1030" s="116"/>
      <c r="F1030" s="58"/>
      <c r="G1030" s="10"/>
      <c r="H1030" s="59"/>
      <c r="I1030" s="60">
        <f>Tableau3[[#This Row],[Stock final]]*Tableau3[[#This Row],[P.U.]]</f>
        <v>0</v>
      </c>
      <c r="J1030" s="183"/>
      <c r="K1030"/>
    </row>
    <row r="1031" spans="1:11" ht="19.350000000000001" customHeight="1">
      <c r="A1031" s="102"/>
      <c r="B1031" s="96"/>
      <c r="C1031" s="116"/>
      <c r="F1031" s="58"/>
      <c r="G1031" s="10"/>
      <c r="H1031" s="59"/>
      <c r="I1031" s="60">
        <f>Tableau3[[#This Row],[Stock final]]*Tableau3[[#This Row],[P.U.]]</f>
        <v>0</v>
      </c>
      <c r="J1031" s="183"/>
      <c r="K1031"/>
    </row>
    <row r="1032" spans="1:11" ht="19.350000000000001" customHeight="1">
      <c r="A1032" s="102"/>
      <c r="B1032" s="96"/>
      <c r="C1032" s="116"/>
      <c r="F1032" s="58"/>
      <c r="G1032" s="10"/>
      <c r="H1032" s="59"/>
      <c r="I1032" s="60">
        <f>Tableau3[[#This Row],[Stock final]]*Tableau3[[#This Row],[P.U.]]</f>
        <v>0</v>
      </c>
      <c r="J1032" s="183"/>
      <c r="K1032"/>
    </row>
    <row r="1033" spans="1:11" ht="19.350000000000001" customHeight="1">
      <c r="A1033" s="102"/>
      <c r="B1033" s="96"/>
      <c r="C1033" s="116"/>
      <c r="F1033" s="58"/>
      <c r="G1033" s="10"/>
      <c r="H1033" s="59"/>
      <c r="I1033" s="60">
        <f>Tableau3[[#This Row],[Stock final]]*Tableau3[[#This Row],[P.U.]]</f>
        <v>0</v>
      </c>
      <c r="J1033" s="183"/>
      <c r="K1033"/>
    </row>
    <row r="1034" spans="1:11" ht="19.350000000000001" customHeight="1">
      <c r="A1034" s="102"/>
      <c r="B1034" s="96"/>
      <c r="C1034" s="116"/>
      <c r="F1034" s="58"/>
      <c r="G1034" s="10"/>
      <c r="H1034" s="59"/>
      <c r="I1034" s="60">
        <f>Tableau3[[#This Row],[Stock final]]*Tableau3[[#This Row],[P.U.]]</f>
        <v>0</v>
      </c>
      <c r="J1034" s="183"/>
      <c r="K1034"/>
    </row>
    <row r="1035" spans="1:11" ht="19.350000000000001" customHeight="1">
      <c r="A1035" s="102"/>
      <c r="B1035" s="62"/>
      <c r="C1035" s="116"/>
      <c r="F1035" s="58"/>
      <c r="G1035" s="10"/>
      <c r="H1035" s="59"/>
      <c r="I1035" s="60">
        <f>Tableau3[[#This Row],[Stock final]]*Tableau3[[#This Row],[P.U.]]</f>
        <v>0</v>
      </c>
      <c r="J1035" s="183"/>
      <c r="K1035"/>
    </row>
    <row r="1036" spans="1:11" ht="19.350000000000001" customHeight="1">
      <c r="A1036" s="102" t="s">
        <v>311</v>
      </c>
      <c r="B1036" s="102" t="s">
        <v>312</v>
      </c>
      <c r="C1036" s="116" t="s">
        <v>313</v>
      </c>
      <c r="D1036" s="11" t="s">
        <v>314</v>
      </c>
      <c r="E1036" s="113" t="s">
        <v>315</v>
      </c>
      <c r="F1036" s="19"/>
      <c r="G1036" s="10">
        <v>10</v>
      </c>
      <c r="H1036" s="20">
        <v>2.59</v>
      </c>
      <c r="I1036" s="21">
        <f>Tableau3[[#This Row],[Stock final]]*Tableau3[[#This Row],[P.U.]]</f>
        <v>25.9</v>
      </c>
      <c r="J1036" s="183"/>
      <c r="K1036"/>
    </row>
    <row r="1037" spans="1:11" ht="19.350000000000001" customHeight="1">
      <c r="A1037" s="102" t="s">
        <v>311</v>
      </c>
      <c r="B1037" s="102" t="s">
        <v>312</v>
      </c>
      <c r="C1037" s="116" t="s">
        <v>316</v>
      </c>
      <c r="D1037" s="11" t="s">
        <v>317</v>
      </c>
      <c r="E1037" s="113" t="s">
        <v>315</v>
      </c>
      <c r="F1037" s="19"/>
      <c r="G1037" s="10">
        <v>10</v>
      </c>
      <c r="H1037" s="20">
        <v>5.73</v>
      </c>
      <c r="I1037" s="21">
        <f>Tableau3[[#This Row],[Stock final]]*Tableau3[[#This Row],[P.U.]]</f>
        <v>57.300000000000004</v>
      </c>
      <c r="J1037" s="183"/>
      <c r="K1037"/>
    </row>
    <row r="1038" spans="1:11" ht="19.350000000000001" customHeight="1">
      <c r="A1038" s="102" t="s">
        <v>311</v>
      </c>
      <c r="B1038" s="102" t="s">
        <v>312</v>
      </c>
      <c r="C1038" s="116" t="s">
        <v>318</v>
      </c>
      <c r="D1038" s="11" t="s">
        <v>319</v>
      </c>
      <c r="E1038" s="113" t="s">
        <v>315</v>
      </c>
      <c r="F1038" s="107"/>
      <c r="G1038" s="10">
        <v>10</v>
      </c>
      <c r="H1038" s="103">
        <v>2.59</v>
      </c>
      <c r="I1038" s="108">
        <f>Tableau3[[#This Row],[Stock final]]*Tableau3[[#This Row],[P.U.]]</f>
        <v>25.9</v>
      </c>
      <c r="J1038" s="183"/>
      <c r="K1038"/>
    </row>
    <row r="1039" spans="1:11" ht="19.350000000000001" customHeight="1">
      <c r="A1039" s="102" t="s">
        <v>311</v>
      </c>
      <c r="B1039" s="102" t="s">
        <v>312</v>
      </c>
      <c r="C1039" s="116" t="s">
        <v>320</v>
      </c>
      <c r="D1039" s="11" t="s">
        <v>321</v>
      </c>
      <c r="E1039" s="113" t="s">
        <v>315</v>
      </c>
      <c r="F1039" s="107"/>
      <c r="G1039" s="10"/>
      <c r="H1039" s="103">
        <v>3.81</v>
      </c>
      <c r="I1039" s="108">
        <f>Tableau3[[#This Row],[Stock final]]*Tableau3[[#This Row],[P.U.]]</f>
        <v>0</v>
      </c>
      <c r="J1039" s="183"/>
      <c r="K1039"/>
    </row>
    <row r="1040" spans="1:11" ht="19.350000000000001" customHeight="1">
      <c r="A1040" s="102" t="s">
        <v>311</v>
      </c>
      <c r="B1040" s="102" t="s">
        <v>312</v>
      </c>
      <c r="C1040" s="116" t="s">
        <v>322</v>
      </c>
      <c r="D1040" s="11" t="s">
        <v>323</v>
      </c>
      <c r="E1040" s="113" t="s">
        <v>315</v>
      </c>
      <c r="F1040" s="107"/>
      <c r="G1040" s="10"/>
      <c r="H1040" s="103">
        <v>2.34</v>
      </c>
      <c r="I1040" s="108">
        <f>Tableau3[[#This Row],[Stock final]]*Tableau3[[#This Row],[P.U.]]</f>
        <v>0</v>
      </c>
      <c r="J1040" s="183"/>
      <c r="K1040"/>
    </row>
    <row r="1041" spans="1:11" ht="19.350000000000001" customHeight="1">
      <c r="A1041" s="102" t="s">
        <v>311</v>
      </c>
      <c r="B1041" s="102" t="s">
        <v>312</v>
      </c>
      <c r="C1041" s="116" t="s">
        <v>324</v>
      </c>
      <c r="D1041" s="11" t="s">
        <v>325</v>
      </c>
      <c r="E1041" s="113" t="s">
        <v>315</v>
      </c>
      <c r="F1041" s="107"/>
      <c r="G1041" s="10"/>
      <c r="H1041" s="103">
        <v>4.6900000000000004</v>
      </c>
      <c r="I1041" s="108">
        <f>Tableau3[[#This Row],[Stock final]]*Tableau3[[#This Row],[P.U.]]</f>
        <v>0</v>
      </c>
      <c r="J1041" s="183"/>
      <c r="K1041"/>
    </row>
    <row r="1042" spans="1:11" ht="19.350000000000001" customHeight="1">
      <c r="A1042" s="102" t="s">
        <v>311</v>
      </c>
      <c r="B1042" s="102" t="s">
        <v>312</v>
      </c>
      <c r="C1042" s="116" t="s">
        <v>326</v>
      </c>
      <c r="D1042" s="11" t="s">
        <v>327</v>
      </c>
      <c r="E1042" s="113" t="s">
        <v>328</v>
      </c>
      <c r="F1042" s="107"/>
      <c r="G1042" s="10"/>
      <c r="H1042" s="103">
        <v>7.03</v>
      </c>
      <c r="I1042" s="108">
        <f>Tableau3[[#This Row],[Stock final]]*Tableau3[[#This Row],[P.U.]]</f>
        <v>0</v>
      </c>
      <c r="J1042" s="183"/>
      <c r="K1042"/>
    </row>
    <row r="1043" spans="1:11" ht="19.350000000000001" customHeight="1">
      <c r="A1043" s="102" t="s">
        <v>311</v>
      </c>
      <c r="B1043" s="102" t="s">
        <v>312</v>
      </c>
      <c r="C1043" s="116"/>
      <c r="F1043" s="107"/>
      <c r="G1043" s="10"/>
      <c r="H1043" s="103"/>
      <c r="I1043" s="108">
        <f>Tableau3[[#This Row],[Stock final]]*Tableau3[[#This Row],[P.U.]]</f>
        <v>0</v>
      </c>
      <c r="J1043" s="183"/>
      <c r="K1043"/>
    </row>
    <row r="1044" spans="1:11" ht="19.350000000000001" customHeight="1">
      <c r="A1044" s="102" t="s">
        <v>329</v>
      </c>
      <c r="B1044" s="102" t="s">
        <v>312</v>
      </c>
      <c r="C1044" s="116" t="s">
        <v>330</v>
      </c>
      <c r="D1044" s="11" t="s">
        <v>319</v>
      </c>
      <c r="E1044" s="113" t="s">
        <v>331</v>
      </c>
      <c r="F1044" s="107"/>
      <c r="G1044" s="10">
        <v>10</v>
      </c>
      <c r="H1044" s="103">
        <v>1.1100000000000001</v>
      </c>
      <c r="I1044" s="108">
        <f>Tableau3[[#This Row],[Stock final]]*Tableau3[[#This Row],[P.U.]]</f>
        <v>11.100000000000001</v>
      </c>
      <c r="J1044" s="183"/>
      <c r="K1044"/>
    </row>
    <row r="1045" spans="1:11" ht="19.350000000000001" customHeight="1">
      <c r="A1045" s="102" t="s">
        <v>329</v>
      </c>
      <c r="B1045" s="102" t="s">
        <v>312</v>
      </c>
      <c r="C1045" s="116" t="s">
        <v>332</v>
      </c>
      <c r="D1045" s="11" t="s">
        <v>333</v>
      </c>
      <c r="E1045" s="113" t="s">
        <v>331</v>
      </c>
      <c r="F1045" s="107"/>
      <c r="G1045" s="10">
        <v>50</v>
      </c>
      <c r="H1045" s="103">
        <v>1.1100000000000001</v>
      </c>
      <c r="I1045" s="108">
        <f>Tableau3[[#This Row],[Stock final]]*Tableau3[[#This Row],[P.U.]]</f>
        <v>55.500000000000007</v>
      </c>
      <c r="J1045" s="183"/>
      <c r="K1045"/>
    </row>
    <row r="1046" spans="1:11" ht="19.350000000000001" customHeight="1">
      <c r="A1046" s="102" t="s">
        <v>329</v>
      </c>
      <c r="B1046" s="102" t="s">
        <v>312</v>
      </c>
      <c r="C1046" s="116" t="s">
        <v>336</v>
      </c>
      <c r="D1046" s="11" t="s">
        <v>334</v>
      </c>
      <c r="E1046" s="113" t="s">
        <v>331</v>
      </c>
      <c r="F1046" s="107"/>
      <c r="G1046" s="10">
        <v>1</v>
      </c>
      <c r="H1046" s="103">
        <v>6.97</v>
      </c>
      <c r="I1046" s="108">
        <f>Tableau3[[#This Row],[Stock final]]*Tableau3[[#This Row],[P.U.]]</f>
        <v>6.97</v>
      </c>
      <c r="J1046" s="183"/>
      <c r="K1046"/>
    </row>
    <row r="1047" spans="1:11" ht="19.350000000000001" customHeight="1">
      <c r="A1047" s="102" t="s">
        <v>329</v>
      </c>
      <c r="B1047" s="102" t="s">
        <v>312</v>
      </c>
      <c r="C1047" s="116" t="s">
        <v>335</v>
      </c>
      <c r="D1047" s="11" t="s">
        <v>317</v>
      </c>
      <c r="E1047" s="113" t="s">
        <v>331</v>
      </c>
      <c r="F1047" s="107"/>
      <c r="G1047" s="10">
        <v>4</v>
      </c>
      <c r="H1047" s="103">
        <v>4.24</v>
      </c>
      <c r="I1047" s="108">
        <f>Tableau3[[#This Row],[Stock final]]*Tableau3[[#This Row],[P.U.]]</f>
        <v>16.96</v>
      </c>
      <c r="J1047" s="183"/>
      <c r="K1047"/>
    </row>
    <row r="1048" spans="1:11" ht="19.350000000000001" customHeight="1">
      <c r="A1048" s="102" t="s">
        <v>329</v>
      </c>
      <c r="B1048" s="102" t="s">
        <v>312</v>
      </c>
      <c r="C1048" s="116" t="s">
        <v>337</v>
      </c>
      <c r="D1048" s="11" t="s">
        <v>338</v>
      </c>
      <c r="E1048" s="113" t="s">
        <v>331</v>
      </c>
      <c r="F1048" s="107"/>
      <c r="G1048" s="10"/>
      <c r="H1048" s="103">
        <v>1.0900000000000001</v>
      </c>
      <c r="I1048" s="108">
        <f>Tableau3[[#This Row],[Stock final]]*Tableau3[[#This Row],[P.U.]]</f>
        <v>0</v>
      </c>
      <c r="J1048" s="183"/>
      <c r="K1048"/>
    </row>
    <row r="1049" spans="1:11" ht="19.350000000000001" customHeight="1">
      <c r="A1049" s="102" t="s">
        <v>329</v>
      </c>
      <c r="B1049" s="102" t="s">
        <v>312</v>
      </c>
      <c r="C1049" s="116" t="s">
        <v>339</v>
      </c>
      <c r="D1049" s="11" t="s">
        <v>340</v>
      </c>
      <c r="E1049" s="113" t="s">
        <v>341</v>
      </c>
      <c r="F1049" s="107"/>
      <c r="G1049" s="10">
        <v>10</v>
      </c>
      <c r="H1049" s="103">
        <v>2.52</v>
      </c>
      <c r="I1049" s="108">
        <f>Tableau3[[#This Row],[Stock final]]*Tableau3[[#This Row],[P.U.]]</f>
        <v>25.2</v>
      </c>
      <c r="J1049" s="183"/>
      <c r="K1049"/>
    </row>
    <row r="1050" spans="1:11" ht="19.350000000000001" customHeight="1">
      <c r="A1050" s="102" t="s">
        <v>329</v>
      </c>
      <c r="B1050" s="102" t="s">
        <v>312</v>
      </c>
      <c r="C1050" s="116" t="s">
        <v>342</v>
      </c>
      <c r="D1050" s="11" t="s">
        <v>343</v>
      </c>
      <c r="E1050" s="113" t="s">
        <v>341</v>
      </c>
      <c r="F1050" s="107"/>
      <c r="G1050" s="10">
        <v>8</v>
      </c>
      <c r="H1050" s="103">
        <v>1.71</v>
      </c>
      <c r="I1050" s="108">
        <f>Tableau3[[#This Row],[Stock final]]*Tableau3[[#This Row],[P.U.]]</f>
        <v>13.68</v>
      </c>
      <c r="J1050" s="183"/>
      <c r="K1050"/>
    </row>
    <row r="1051" spans="1:11" ht="19.350000000000001" customHeight="1">
      <c r="A1051" s="102" t="s">
        <v>329</v>
      </c>
      <c r="B1051" s="102" t="s">
        <v>312</v>
      </c>
      <c r="C1051" s="116" t="s">
        <v>344</v>
      </c>
      <c r="D1051" s="11" t="s">
        <v>345</v>
      </c>
      <c r="E1051" s="113" t="s">
        <v>331</v>
      </c>
      <c r="F1051" s="107"/>
      <c r="G1051" s="10">
        <v>1</v>
      </c>
      <c r="H1051" s="103">
        <v>3.42</v>
      </c>
      <c r="I1051" s="108">
        <f>Tableau3[[#This Row],[Stock final]]*Tableau3[[#This Row],[P.U.]]</f>
        <v>3.42</v>
      </c>
      <c r="J1051" s="183"/>
      <c r="K1051"/>
    </row>
    <row r="1052" spans="1:11" ht="19.350000000000001" customHeight="1">
      <c r="A1052" s="102" t="s">
        <v>329</v>
      </c>
      <c r="B1052" s="102" t="s">
        <v>312</v>
      </c>
      <c r="C1052" s="116" t="s">
        <v>346</v>
      </c>
      <c r="D1052" s="11" t="s">
        <v>347</v>
      </c>
      <c r="E1052" s="113" t="s">
        <v>341</v>
      </c>
      <c r="F1052" s="107"/>
      <c r="G1052" s="10"/>
      <c r="H1052" s="103">
        <v>5.13</v>
      </c>
      <c r="I1052" s="108">
        <f>Tableau3[[#This Row],[Stock final]]*Tableau3[[#This Row],[P.U.]]</f>
        <v>0</v>
      </c>
      <c r="J1052" s="183"/>
      <c r="K1052"/>
    </row>
    <row r="1053" spans="1:11" ht="19.350000000000001" customHeight="1">
      <c r="A1053" s="102" t="s">
        <v>329</v>
      </c>
      <c r="B1053" s="102" t="s">
        <v>312</v>
      </c>
      <c r="C1053" s="116" t="s">
        <v>348</v>
      </c>
      <c r="D1053" s="11" t="s">
        <v>349</v>
      </c>
      <c r="E1053" s="113" t="s">
        <v>331</v>
      </c>
      <c r="F1053" s="107"/>
      <c r="G1053" s="10"/>
      <c r="H1053" s="103">
        <v>6.83</v>
      </c>
      <c r="I1053" s="108">
        <f>Tableau3[[#This Row],[Stock final]]*Tableau3[[#This Row],[P.U.]]</f>
        <v>0</v>
      </c>
      <c r="J1053" s="183"/>
      <c r="K1053"/>
    </row>
    <row r="1054" spans="1:11" ht="19.350000000000001" customHeight="1">
      <c r="A1054" s="102" t="s">
        <v>329</v>
      </c>
      <c r="B1054" s="102" t="s">
        <v>312</v>
      </c>
      <c r="C1054" s="116" t="s">
        <v>1234</v>
      </c>
      <c r="D1054" s="11" t="s">
        <v>1235</v>
      </c>
      <c r="E1054" s="113" t="s">
        <v>341</v>
      </c>
      <c r="F1054" s="107"/>
      <c r="G1054" s="10">
        <v>5</v>
      </c>
      <c r="H1054" s="103">
        <v>6.93</v>
      </c>
      <c r="I1054" s="108">
        <f>Tableau3[[#This Row],[Stock final]]*Tableau3[[#This Row],[P.U.]]</f>
        <v>34.65</v>
      </c>
      <c r="J1054" s="183"/>
      <c r="K1054"/>
    </row>
    <row r="1055" spans="1:11" ht="19.350000000000001" customHeight="1">
      <c r="A1055" s="102" t="s">
        <v>329</v>
      </c>
      <c r="B1055" s="102" t="s">
        <v>312</v>
      </c>
      <c r="C1055" s="116" t="s">
        <v>1236</v>
      </c>
      <c r="D1055" s="11" t="s">
        <v>1237</v>
      </c>
      <c r="E1055" s="113" t="s">
        <v>341</v>
      </c>
      <c r="F1055" s="107"/>
      <c r="G1055" s="10">
        <v>3</v>
      </c>
      <c r="H1055" s="103">
        <v>9.16</v>
      </c>
      <c r="I1055" s="108">
        <f>Tableau3[[#This Row],[Stock final]]*Tableau3[[#This Row],[P.U.]]</f>
        <v>27.48</v>
      </c>
      <c r="J1055" s="183"/>
      <c r="K1055"/>
    </row>
    <row r="1056" spans="1:11" ht="19.350000000000001" customHeight="1">
      <c r="A1056" s="102" t="s">
        <v>329</v>
      </c>
      <c r="B1056" s="102" t="s">
        <v>312</v>
      </c>
      <c r="C1056" s="116"/>
      <c r="F1056" s="107"/>
      <c r="G1056" s="10"/>
      <c r="H1056" s="103"/>
      <c r="I1056" s="108">
        <f>Tableau3[[#This Row],[Stock final]]*Tableau3[[#This Row],[P.U.]]</f>
        <v>0</v>
      </c>
      <c r="J1056" s="183"/>
      <c r="K1056"/>
    </row>
    <row r="1057" spans="1:11" ht="19.350000000000001" customHeight="1">
      <c r="A1057" s="102" t="s">
        <v>329</v>
      </c>
      <c r="B1057" s="102" t="s">
        <v>312</v>
      </c>
      <c r="C1057" s="116"/>
      <c r="F1057" s="107"/>
      <c r="G1057" s="10"/>
      <c r="H1057" s="103"/>
      <c r="I1057" s="108">
        <f>Tableau3[[#This Row],[Stock final]]*Tableau3[[#This Row],[P.U.]]</f>
        <v>0</v>
      </c>
      <c r="J1057" s="183"/>
      <c r="K1057"/>
    </row>
    <row r="1058" spans="1:11" ht="19.350000000000001" customHeight="1">
      <c r="A1058" s="102" t="s">
        <v>329</v>
      </c>
      <c r="B1058" s="102" t="s">
        <v>312</v>
      </c>
      <c r="C1058" s="116"/>
      <c r="F1058" s="107"/>
      <c r="G1058" s="10"/>
      <c r="H1058" s="103"/>
      <c r="I1058" s="108">
        <f>Tableau3[[#This Row],[Stock final]]*Tableau3[[#This Row],[P.U.]]</f>
        <v>0</v>
      </c>
      <c r="J1058" s="183"/>
      <c r="K1058"/>
    </row>
    <row r="1059" spans="1:11" ht="19.350000000000001" customHeight="1">
      <c r="A1059" s="102" t="s">
        <v>329</v>
      </c>
      <c r="B1059" s="102" t="s">
        <v>312</v>
      </c>
      <c r="C1059" s="116"/>
      <c r="F1059" s="107"/>
      <c r="G1059" s="10"/>
      <c r="H1059" s="103"/>
      <c r="I1059" s="108">
        <f>Tableau3[[#This Row],[Stock final]]*Tableau3[[#This Row],[P.U.]]</f>
        <v>0</v>
      </c>
      <c r="J1059" s="183"/>
      <c r="K1059"/>
    </row>
    <row r="1060" spans="1:11" ht="19.350000000000001" customHeight="1">
      <c r="A1060" s="102" t="s">
        <v>329</v>
      </c>
      <c r="B1060" s="102" t="s">
        <v>312</v>
      </c>
      <c r="C1060" s="116"/>
      <c r="F1060" s="58"/>
      <c r="G1060" s="10"/>
      <c r="H1060" s="59"/>
      <c r="I1060" s="60">
        <f>Tableau3[[#This Row],[Stock final]]*Tableau3[[#This Row],[P.U.]]</f>
        <v>0</v>
      </c>
      <c r="J1060" s="183"/>
      <c r="K1060"/>
    </row>
    <row r="1061" spans="1:11" ht="19.350000000000001" customHeight="1">
      <c r="A1061" s="102" t="s">
        <v>329</v>
      </c>
      <c r="B1061" s="102" t="s">
        <v>312</v>
      </c>
      <c r="C1061" s="116"/>
      <c r="F1061" s="58"/>
      <c r="G1061" s="10"/>
      <c r="H1061" s="59"/>
      <c r="I1061" s="60">
        <f>Tableau3[[#This Row],[Stock final]]*Tableau3[[#This Row],[P.U.]]</f>
        <v>0</v>
      </c>
      <c r="J1061" s="183"/>
      <c r="K1061"/>
    </row>
    <row r="1062" spans="1:11" ht="19.350000000000001" customHeight="1">
      <c r="A1062" s="102" t="s">
        <v>329</v>
      </c>
      <c r="B1062" s="102" t="s">
        <v>312</v>
      </c>
      <c r="C1062" s="116"/>
      <c r="F1062" s="58"/>
      <c r="G1062" s="10"/>
      <c r="H1062" s="59"/>
      <c r="I1062" s="60">
        <f>Tableau3[[#This Row],[Stock final]]*Tableau3[[#This Row],[P.U.]]</f>
        <v>0</v>
      </c>
      <c r="J1062" s="183"/>
      <c r="K1062"/>
    </row>
    <row r="1063" spans="1:11" ht="19.350000000000001" customHeight="1">
      <c r="A1063" s="102" t="s">
        <v>329</v>
      </c>
      <c r="B1063" s="102" t="s">
        <v>312</v>
      </c>
      <c r="C1063" s="116"/>
      <c r="F1063" s="58"/>
      <c r="G1063" s="10"/>
      <c r="H1063" s="59"/>
      <c r="I1063" s="60">
        <f>Tableau3[[#This Row],[Stock final]]*Tableau3[[#This Row],[P.U.]]</f>
        <v>0</v>
      </c>
      <c r="J1063" s="183"/>
      <c r="K1063"/>
    </row>
    <row r="1064" spans="1:11" ht="19.350000000000001" customHeight="1">
      <c r="A1064" s="102" t="s">
        <v>329</v>
      </c>
      <c r="B1064" s="102" t="s">
        <v>312</v>
      </c>
      <c r="C1064" s="116"/>
      <c r="F1064" s="58"/>
      <c r="G1064" s="10"/>
      <c r="H1064" s="59"/>
      <c r="I1064" s="60">
        <f>Tableau3[[#This Row],[Stock final]]*Tableau3[[#This Row],[P.U.]]</f>
        <v>0</v>
      </c>
      <c r="J1064" s="183"/>
      <c r="K1064"/>
    </row>
    <row r="1065" spans="1:11" ht="19.350000000000001" customHeight="1">
      <c r="A1065" s="102" t="s">
        <v>329</v>
      </c>
      <c r="B1065" s="62" t="s">
        <v>312</v>
      </c>
      <c r="C1065" s="116"/>
      <c r="F1065" s="58"/>
      <c r="G1065" s="10"/>
      <c r="H1065" s="59"/>
      <c r="I1065" s="60">
        <f>Tableau3[[#This Row],[Stock final]]*Tableau3[[#This Row],[P.U.]]</f>
        <v>0</v>
      </c>
      <c r="J1065" s="183"/>
      <c r="K1065"/>
    </row>
    <row r="1066" spans="1:11" ht="19.350000000000001" customHeight="1">
      <c r="A1066" s="102" t="s">
        <v>329</v>
      </c>
      <c r="B1066" s="62" t="s">
        <v>312</v>
      </c>
      <c r="C1066" s="116"/>
      <c r="F1066" s="58"/>
      <c r="G1066" s="10"/>
      <c r="H1066" s="59"/>
      <c r="I1066" s="60">
        <f>Tableau3[[#This Row],[Stock final]]*Tableau3[[#This Row],[P.U.]]</f>
        <v>0</v>
      </c>
      <c r="J1066" s="183"/>
      <c r="K1066"/>
    </row>
    <row r="1067" spans="1:11" ht="19.350000000000001" customHeight="1">
      <c r="A1067" s="102" t="s">
        <v>329</v>
      </c>
      <c r="B1067" s="62" t="s">
        <v>312</v>
      </c>
      <c r="C1067" s="116"/>
      <c r="F1067" s="58"/>
      <c r="G1067" s="10"/>
      <c r="H1067" s="59"/>
      <c r="I1067" s="60">
        <f>Tableau3[[#This Row],[Stock final]]*Tableau3[[#This Row],[P.U.]]</f>
        <v>0</v>
      </c>
      <c r="J1067" s="183"/>
      <c r="K1067"/>
    </row>
    <row r="1068" spans="1:11" ht="19.350000000000001" customHeight="1">
      <c r="A1068" s="102" t="s">
        <v>329</v>
      </c>
      <c r="B1068" s="102" t="s">
        <v>312</v>
      </c>
      <c r="C1068" s="116"/>
      <c r="F1068" s="58"/>
      <c r="G1068" s="10"/>
      <c r="H1068" s="59"/>
      <c r="I1068" s="60">
        <f>Tableau3[[#This Row],[Stock final]]*Tableau3[[#This Row],[P.U.]]</f>
        <v>0</v>
      </c>
      <c r="J1068" s="183"/>
      <c r="K1068"/>
    </row>
    <row r="1069" spans="1:11" ht="19.350000000000001" customHeight="1">
      <c r="A1069" s="102" t="s">
        <v>329</v>
      </c>
      <c r="B1069" s="102" t="s">
        <v>312</v>
      </c>
      <c r="C1069" s="116"/>
      <c r="F1069" s="58"/>
      <c r="G1069" s="10"/>
      <c r="H1069" s="59"/>
      <c r="I1069" s="60">
        <f>Tableau3[[#This Row],[Stock final]]*Tableau3[[#This Row],[P.U.]]</f>
        <v>0</v>
      </c>
      <c r="J1069" s="183"/>
      <c r="K1069"/>
    </row>
    <row r="1070" spans="1:11" ht="19.350000000000001" customHeight="1">
      <c r="A1070" s="102" t="s">
        <v>329</v>
      </c>
      <c r="B1070" s="102"/>
      <c r="C1070" s="116"/>
      <c r="F1070" s="58"/>
      <c r="G1070" s="10"/>
      <c r="H1070" s="59"/>
      <c r="I1070" s="60">
        <f>Tableau3[[#This Row],[Stock final]]*Tableau3[[#This Row],[P.U.]]</f>
        <v>0</v>
      </c>
      <c r="J1070" s="183"/>
      <c r="K1070"/>
    </row>
    <row r="1071" spans="1:11" ht="19.350000000000001" customHeight="1">
      <c r="A1071" s="102" t="s">
        <v>329</v>
      </c>
      <c r="B1071" s="102"/>
      <c r="C1071" s="116"/>
      <c r="F1071" s="58"/>
      <c r="G1071" s="10"/>
      <c r="H1071" s="59"/>
      <c r="I1071" s="60">
        <f>Tableau3[[#This Row],[Stock final]]*Tableau3[[#This Row],[P.U.]]</f>
        <v>0</v>
      </c>
      <c r="J1071" s="183"/>
      <c r="K1071"/>
    </row>
    <row r="1072" spans="1:11" ht="19.350000000000001" customHeight="1">
      <c r="A1072" s="102" t="s">
        <v>329</v>
      </c>
      <c r="B1072" s="102"/>
      <c r="C1072" s="116"/>
      <c r="F1072" s="58"/>
      <c r="G1072" s="10"/>
      <c r="H1072" s="59"/>
      <c r="I1072" s="60">
        <f>Tableau3[[#This Row],[Stock final]]*Tableau3[[#This Row],[P.U.]]</f>
        <v>0</v>
      </c>
      <c r="J1072" s="183"/>
      <c r="K1072"/>
    </row>
    <row r="1073" spans="1:11" ht="19.350000000000001" customHeight="1">
      <c r="A1073" s="102" t="s">
        <v>329</v>
      </c>
      <c r="B1073" s="102"/>
      <c r="C1073" s="116"/>
      <c r="F1073" s="58"/>
      <c r="G1073" s="10"/>
      <c r="H1073" s="59"/>
      <c r="I1073" s="60">
        <f>Tableau3[[#This Row],[Stock final]]*Tableau3[[#This Row],[P.U.]]</f>
        <v>0</v>
      </c>
      <c r="J1073" s="183"/>
      <c r="K1073"/>
    </row>
    <row r="1074" spans="1:11" ht="19.350000000000001" customHeight="1">
      <c r="A1074" s="102" t="s">
        <v>329</v>
      </c>
      <c r="B1074" s="102"/>
      <c r="C1074" s="116"/>
      <c r="F1074" s="58"/>
      <c r="G1074" s="10"/>
      <c r="H1074" s="59"/>
      <c r="I1074" s="60">
        <f>Tableau3[[#This Row],[Stock final]]*Tableau3[[#This Row],[P.U.]]</f>
        <v>0</v>
      </c>
      <c r="J1074" s="183"/>
      <c r="K1074"/>
    </row>
    <row r="1075" spans="1:11" ht="19.350000000000001" customHeight="1">
      <c r="A1075" s="102" t="s">
        <v>329</v>
      </c>
      <c r="B1075" s="102"/>
      <c r="C1075" s="116"/>
      <c r="F1075" s="58"/>
      <c r="G1075" s="10"/>
      <c r="H1075" s="59"/>
      <c r="I1075" s="60">
        <f>Tableau3[[#This Row],[Stock final]]*Tableau3[[#This Row],[P.U.]]</f>
        <v>0</v>
      </c>
      <c r="J1075" s="184"/>
    </row>
    <row r="1076" spans="1:11" ht="19.350000000000001" customHeight="1">
      <c r="A1076" s="102" t="s">
        <v>329</v>
      </c>
      <c r="B1076" s="102"/>
      <c r="C1076" s="116"/>
      <c r="F1076" s="58"/>
      <c r="G1076" s="10"/>
      <c r="H1076" s="59"/>
      <c r="I1076" s="60">
        <f>Tableau3[[#This Row],[Stock final]]*Tableau3[[#This Row],[P.U.]]</f>
        <v>0</v>
      </c>
      <c r="J1076" s="184"/>
    </row>
    <row r="1077" spans="1:11" ht="19.350000000000001" customHeight="1">
      <c r="A1077" s="102" t="s">
        <v>329</v>
      </c>
      <c r="B1077" s="102"/>
      <c r="C1077" s="116"/>
      <c r="F1077" s="58"/>
      <c r="G1077" s="10"/>
      <c r="H1077" s="59"/>
      <c r="I1077" s="60">
        <f>Tableau3[[#This Row],[Stock final]]*Tableau3[[#This Row],[P.U.]]</f>
        <v>0</v>
      </c>
      <c r="J1077" s="184"/>
    </row>
    <row r="1078" spans="1:11" ht="19.350000000000001" customHeight="1">
      <c r="A1078" s="102" t="s">
        <v>329</v>
      </c>
      <c r="B1078" s="102"/>
      <c r="C1078" s="116"/>
      <c r="F1078" s="58"/>
      <c r="G1078" s="10"/>
      <c r="H1078" s="59"/>
      <c r="I1078" s="60">
        <f>Tableau3[[#This Row],[Stock final]]*Tableau3[[#This Row],[P.U.]]</f>
        <v>0</v>
      </c>
      <c r="J1078" s="184"/>
    </row>
    <row r="1079" spans="1:11" ht="19.350000000000001" customHeight="1">
      <c r="A1079" s="102" t="s">
        <v>329</v>
      </c>
      <c r="B1079" s="102"/>
      <c r="C1079" s="116"/>
      <c r="F1079" s="58"/>
      <c r="G1079" s="10"/>
      <c r="H1079" s="59"/>
      <c r="I1079" s="60">
        <f>Tableau3[[#This Row],[Stock final]]*Tableau3[[#This Row],[P.U.]]</f>
        <v>0</v>
      </c>
      <c r="J1079" s="184"/>
    </row>
    <row r="1080" spans="1:11" ht="19.350000000000001" customHeight="1">
      <c r="A1080" s="102" t="s">
        <v>329</v>
      </c>
      <c r="B1080" s="102"/>
      <c r="C1080" s="116"/>
      <c r="F1080" s="58"/>
      <c r="G1080" s="10"/>
      <c r="H1080" s="59"/>
      <c r="I1080" s="60">
        <f>Tableau3[[#This Row],[Stock final]]*Tableau3[[#This Row],[P.U.]]</f>
        <v>0</v>
      </c>
      <c r="J1080" s="184"/>
    </row>
    <row r="1081" spans="1:11" ht="19.350000000000001" customHeight="1">
      <c r="A1081" s="102" t="s">
        <v>329</v>
      </c>
      <c r="B1081" s="102"/>
      <c r="C1081" s="116"/>
      <c r="F1081" s="58"/>
      <c r="G1081" s="10"/>
      <c r="H1081" s="59"/>
      <c r="I1081" s="60">
        <f>Tableau3[[#This Row],[Stock final]]*Tableau3[[#This Row],[P.U.]]</f>
        <v>0</v>
      </c>
      <c r="J1081" s="184"/>
    </row>
    <row r="1082" spans="1:11" ht="19.350000000000001" customHeight="1">
      <c r="A1082" s="102" t="s">
        <v>329</v>
      </c>
      <c r="B1082" s="102"/>
      <c r="C1082" s="116"/>
      <c r="F1082" s="58"/>
      <c r="G1082" s="10"/>
      <c r="H1082" s="103"/>
      <c r="I1082" s="60">
        <f>Tableau3[[#This Row],[Stock final]]*Tableau3[[#This Row],[P.U.]]</f>
        <v>0</v>
      </c>
      <c r="J1082" s="184"/>
    </row>
    <row r="1083" spans="1:11" ht="19.350000000000001" customHeight="1">
      <c r="A1083" s="102" t="s">
        <v>329</v>
      </c>
      <c r="B1083" s="102"/>
      <c r="C1083" s="116"/>
      <c r="F1083" s="107"/>
      <c r="G1083" s="10"/>
      <c r="H1083" s="59"/>
      <c r="I1083" s="60">
        <f>Tableau3[[#This Row],[Stock final]]*Tableau3[[#This Row],[P.U.]]</f>
        <v>0</v>
      </c>
      <c r="J1083" s="184"/>
    </row>
    <row r="1084" spans="1:11" ht="19.350000000000001" customHeight="1">
      <c r="A1084" s="102" t="s">
        <v>329</v>
      </c>
      <c r="B1084" s="102"/>
      <c r="C1084" s="116"/>
      <c r="F1084" s="58"/>
      <c r="G1084" s="10"/>
      <c r="H1084" s="59"/>
      <c r="I1084" s="60">
        <f>Tableau3[[#This Row],[Stock final]]*Tableau3[[#This Row],[P.U.]]</f>
        <v>0</v>
      </c>
      <c r="J1084" s="184"/>
    </row>
    <row r="1085" spans="1:11" ht="19.350000000000001" customHeight="1">
      <c r="A1085" s="102" t="s">
        <v>350</v>
      </c>
      <c r="B1085" s="102" t="s">
        <v>312</v>
      </c>
      <c r="C1085" s="116" t="s">
        <v>351</v>
      </c>
      <c r="D1085" s="11" t="s">
        <v>352</v>
      </c>
      <c r="F1085" s="58"/>
      <c r="G1085" s="10">
        <v>107</v>
      </c>
      <c r="H1085" s="59">
        <v>4.01</v>
      </c>
      <c r="I1085" s="60">
        <f>Tableau3[[#This Row],[Stock final]]*Tableau3[[#This Row],[P.U.]]</f>
        <v>429.07</v>
      </c>
      <c r="J1085" s="184"/>
    </row>
    <row r="1086" spans="1:11" ht="19.350000000000001" customHeight="1">
      <c r="A1086" s="102" t="s">
        <v>350</v>
      </c>
      <c r="B1086" s="102" t="s">
        <v>312</v>
      </c>
      <c r="C1086" s="116" t="s">
        <v>353</v>
      </c>
      <c r="D1086" s="11" t="s">
        <v>354</v>
      </c>
      <c r="F1086" s="58"/>
      <c r="G1086" s="10">
        <v>1</v>
      </c>
      <c r="H1086" s="59">
        <v>5.45</v>
      </c>
      <c r="I1086" s="60">
        <f>Tableau3[[#This Row],[Stock final]]*Tableau3[[#This Row],[P.U.]]</f>
        <v>5.45</v>
      </c>
      <c r="J1086" s="184"/>
    </row>
    <row r="1087" spans="1:11" ht="19.350000000000001" customHeight="1">
      <c r="A1087" s="102" t="s">
        <v>350</v>
      </c>
      <c r="B1087" s="102" t="s">
        <v>312</v>
      </c>
      <c r="C1087" s="116" t="s">
        <v>355</v>
      </c>
      <c r="D1087" s="165" t="s">
        <v>356</v>
      </c>
      <c r="F1087" s="58"/>
      <c r="G1087" s="10">
        <v>10</v>
      </c>
      <c r="H1087" s="59">
        <v>9.3699999999999992</v>
      </c>
      <c r="I1087" s="60">
        <f>Tableau3[[#This Row],[Stock final]]*Tableau3[[#This Row],[P.U.]]</f>
        <v>93.699999999999989</v>
      </c>
      <c r="J1087" s="184"/>
    </row>
    <row r="1088" spans="1:11" ht="19.350000000000001" customHeight="1">
      <c r="A1088" s="102" t="s">
        <v>350</v>
      </c>
      <c r="B1088" s="102" t="s">
        <v>312</v>
      </c>
      <c r="C1088" s="116" t="s">
        <v>361</v>
      </c>
      <c r="D1088" s="165" t="s">
        <v>362</v>
      </c>
      <c r="F1088" s="58"/>
      <c r="G1088" s="10">
        <v>20</v>
      </c>
      <c r="H1088" s="59">
        <v>26.3</v>
      </c>
      <c r="I1088" s="60">
        <f>Tableau3[[#This Row],[Stock final]]*Tableau3[[#This Row],[P.U.]]</f>
        <v>526</v>
      </c>
      <c r="J1088" s="184"/>
    </row>
    <row r="1089" spans="1:10" ht="19.350000000000001" customHeight="1">
      <c r="A1089" s="102" t="s">
        <v>350</v>
      </c>
      <c r="B1089" s="102" t="s">
        <v>312</v>
      </c>
      <c r="C1089" s="116" t="s">
        <v>357</v>
      </c>
      <c r="D1089" s="11" t="s">
        <v>358</v>
      </c>
      <c r="F1089" s="58"/>
      <c r="G1089" s="10">
        <v>10</v>
      </c>
      <c r="H1089" s="59">
        <v>8.8800000000000008</v>
      </c>
      <c r="I1089" s="60">
        <f>Tableau3[[#This Row],[Stock final]]*Tableau3[[#This Row],[P.U.]]</f>
        <v>88.800000000000011</v>
      </c>
      <c r="J1089" s="184"/>
    </row>
    <row r="1090" spans="1:10" ht="19.350000000000001" customHeight="1">
      <c r="A1090" s="102" t="s">
        <v>350</v>
      </c>
      <c r="B1090" s="102" t="s">
        <v>312</v>
      </c>
      <c r="C1090" s="157" t="s">
        <v>359</v>
      </c>
      <c r="D1090" s="11" t="s">
        <v>360</v>
      </c>
      <c r="F1090" s="58"/>
      <c r="G1090" s="10">
        <v>9</v>
      </c>
      <c r="H1090" s="59">
        <v>14.6</v>
      </c>
      <c r="I1090" s="60">
        <f>Tableau3[[#This Row],[Stock final]]*Tableau3[[#This Row],[P.U.]]</f>
        <v>131.4</v>
      </c>
      <c r="J1090" s="184"/>
    </row>
    <row r="1091" spans="1:10" ht="19.350000000000001" customHeight="1">
      <c r="A1091" s="102" t="s">
        <v>350</v>
      </c>
      <c r="B1091" s="102" t="s">
        <v>312</v>
      </c>
      <c r="C1091" s="116" t="s">
        <v>363</v>
      </c>
      <c r="D1091" s="11" t="s">
        <v>364</v>
      </c>
      <c r="E1091" s="113" t="s">
        <v>331</v>
      </c>
      <c r="F1091" s="58"/>
      <c r="G1091" s="10">
        <v>12</v>
      </c>
      <c r="H1091" s="59">
        <v>30.81</v>
      </c>
      <c r="I1091" s="60">
        <f>Tableau3[[#This Row],[Stock final]]*Tableau3[[#This Row],[P.U.]]</f>
        <v>369.71999999999997</v>
      </c>
      <c r="J1091" s="184"/>
    </row>
    <row r="1092" spans="1:10" ht="19.350000000000001" customHeight="1">
      <c r="A1092" s="102" t="s">
        <v>350</v>
      </c>
      <c r="B1092" s="102" t="s">
        <v>312</v>
      </c>
      <c r="C1092" s="116" t="s">
        <v>1238</v>
      </c>
      <c r="D1092" s="11" t="s">
        <v>1239</v>
      </c>
      <c r="F1092" s="58"/>
      <c r="G1092" s="10">
        <v>10</v>
      </c>
      <c r="H1092" s="59">
        <v>25.47</v>
      </c>
      <c r="I1092" s="60">
        <f>Tableau3[[#This Row],[Stock final]]*Tableau3[[#This Row],[P.U.]]</f>
        <v>254.7</v>
      </c>
      <c r="J1092" s="184"/>
    </row>
    <row r="1093" spans="1:10" ht="19.350000000000001" customHeight="1">
      <c r="A1093" s="102" t="s">
        <v>350</v>
      </c>
      <c r="B1093" s="102" t="s">
        <v>312</v>
      </c>
      <c r="C1093" s="116" t="s">
        <v>1240</v>
      </c>
      <c r="D1093" s="11" t="s">
        <v>1241</v>
      </c>
      <c r="F1093" s="58"/>
      <c r="G1093" s="10">
        <v>2</v>
      </c>
      <c r="H1093" s="59">
        <v>21.55</v>
      </c>
      <c r="I1093" s="60">
        <f>Tableau3[[#This Row],[Stock final]]*Tableau3[[#This Row],[P.U.]]</f>
        <v>43.1</v>
      </c>
      <c r="J1093" s="184"/>
    </row>
    <row r="1094" spans="1:10" ht="19.350000000000001" customHeight="1">
      <c r="A1094" s="102" t="s">
        <v>350</v>
      </c>
      <c r="B1094" s="102" t="s">
        <v>312</v>
      </c>
      <c r="C1094" s="116"/>
      <c r="F1094" s="58"/>
      <c r="G1094" s="10"/>
      <c r="H1094" s="59"/>
      <c r="I1094" s="60">
        <f>Tableau3[[#This Row],[Stock final]]*Tableau3[[#This Row],[P.U.]]</f>
        <v>0</v>
      </c>
      <c r="J1094" s="184"/>
    </row>
    <row r="1095" spans="1:10" ht="19.350000000000001" customHeight="1">
      <c r="A1095" s="102" t="s">
        <v>350</v>
      </c>
      <c r="B1095" s="102" t="s">
        <v>312</v>
      </c>
      <c r="C1095" s="116"/>
      <c r="F1095" s="58"/>
      <c r="G1095" s="10"/>
      <c r="H1095" s="59"/>
      <c r="I1095" s="60">
        <f>Tableau3[[#This Row],[Stock final]]*Tableau3[[#This Row],[P.U.]]</f>
        <v>0</v>
      </c>
      <c r="J1095" s="184"/>
    </row>
    <row r="1096" spans="1:10" ht="19.350000000000001" customHeight="1">
      <c r="A1096" s="102" t="s">
        <v>350</v>
      </c>
      <c r="B1096" s="102" t="s">
        <v>312</v>
      </c>
      <c r="C1096" s="116"/>
      <c r="F1096" s="58"/>
      <c r="G1096" s="10"/>
      <c r="H1096" s="59"/>
      <c r="I1096" s="60">
        <f>Tableau3[[#This Row],[Stock final]]*Tableau3[[#This Row],[P.U.]]</f>
        <v>0</v>
      </c>
      <c r="J1096" s="184"/>
    </row>
    <row r="1097" spans="1:10" ht="19.350000000000001" customHeight="1">
      <c r="A1097" s="102" t="s">
        <v>350</v>
      </c>
      <c r="B1097" s="102" t="s">
        <v>312</v>
      </c>
      <c r="C1097" s="116"/>
      <c r="F1097" s="58"/>
      <c r="G1097" s="10"/>
      <c r="H1097" s="59"/>
      <c r="I1097" s="60">
        <f>Tableau3[[#This Row],[Stock final]]*Tableau3[[#This Row],[P.U.]]</f>
        <v>0</v>
      </c>
      <c r="J1097" s="184"/>
    </row>
    <row r="1098" spans="1:10" ht="19.350000000000001" customHeight="1">
      <c r="A1098" s="102" t="s">
        <v>350</v>
      </c>
      <c r="B1098" s="102" t="s">
        <v>312</v>
      </c>
      <c r="C1098" s="116"/>
      <c r="F1098" s="58"/>
      <c r="G1098" s="10"/>
      <c r="H1098" s="59"/>
      <c r="I1098" s="60">
        <f>Tableau3[[#This Row],[Stock final]]*Tableau3[[#This Row],[P.U.]]</f>
        <v>0</v>
      </c>
      <c r="J1098" s="184"/>
    </row>
    <row r="1099" spans="1:10" ht="19.350000000000001" customHeight="1">
      <c r="A1099" s="102" t="s">
        <v>350</v>
      </c>
      <c r="B1099" s="102" t="s">
        <v>312</v>
      </c>
      <c r="C1099" s="116"/>
      <c r="F1099" s="58"/>
      <c r="G1099" s="10"/>
      <c r="H1099" s="59"/>
      <c r="I1099" s="60">
        <f>Tableau3[[#This Row],[Stock final]]*Tableau3[[#This Row],[P.U.]]</f>
        <v>0</v>
      </c>
      <c r="J1099" s="184"/>
    </row>
    <row r="1100" spans="1:10" ht="19.350000000000001" customHeight="1">
      <c r="A1100" s="102" t="s">
        <v>350</v>
      </c>
      <c r="B1100" s="102" t="s">
        <v>312</v>
      </c>
      <c r="C1100" s="116"/>
      <c r="F1100" s="58"/>
      <c r="G1100" s="10"/>
      <c r="H1100" s="103"/>
      <c r="I1100" s="60">
        <f>Tableau3[[#This Row],[Stock final]]*Tableau3[[#This Row],[P.U.]]</f>
        <v>0</v>
      </c>
      <c r="J1100" s="184"/>
    </row>
    <row r="1101" spans="1:10" ht="19.350000000000001" customHeight="1">
      <c r="A1101" s="102" t="s">
        <v>350</v>
      </c>
      <c r="B1101" s="102" t="s">
        <v>312</v>
      </c>
      <c r="C1101" s="116"/>
      <c r="F1101" s="107"/>
      <c r="G1101" s="10"/>
      <c r="H1101" s="59"/>
      <c r="I1101" s="60">
        <f>Tableau3[[#This Row],[Stock final]]*Tableau3[[#This Row],[P.U.]]</f>
        <v>0</v>
      </c>
      <c r="J1101" s="184"/>
    </row>
    <row r="1102" spans="1:10" ht="19.350000000000001" customHeight="1">
      <c r="A1102" s="102" t="s">
        <v>350</v>
      </c>
      <c r="B1102" s="102" t="s">
        <v>312</v>
      </c>
      <c r="C1102" s="116"/>
      <c r="F1102" s="58"/>
      <c r="G1102" s="10"/>
      <c r="H1102" s="59"/>
      <c r="I1102" s="60">
        <f>Tableau3[[#This Row],[Stock final]]*Tableau3[[#This Row],[P.U.]]</f>
        <v>0</v>
      </c>
      <c r="J1102" s="184"/>
    </row>
    <row r="1103" spans="1:10" ht="19.350000000000001" customHeight="1">
      <c r="A1103" s="102" t="s">
        <v>350</v>
      </c>
      <c r="B1103" s="102" t="s">
        <v>312</v>
      </c>
      <c r="C1103" s="116"/>
      <c r="F1103" s="58"/>
      <c r="G1103" s="10"/>
      <c r="H1103" s="59"/>
      <c r="I1103" s="60">
        <f>Tableau3[[#This Row],[Stock final]]*Tableau3[[#This Row],[P.U.]]</f>
        <v>0</v>
      </c>
      <c r="J1103" s="184"/>
    </row>
    <row r="1104" spans="1:10" ht="19.350000000000001" customHeight="1">
      <c r="A1104" s="105" t="s">
        <v>350</v>
      </c>
      <c r="B1104" s="105" t="s">
        <v>312</v>
      </c>
      <c r="C1104" s="116"/>
      <c r="F1104" s="58"/>
      <c r="G1104" s="10"/>
      <c r="H1104" s="59"/>
      <c r="I1104" s="60">
        <f>Tableau3[[#This Row],[Stock final]]*Tableau3[[#This Row],[P.U.]]</f>
        <v>0</v>
      </c>
      <c r="J1104" s="184"/>
    </row>
    <row r="1105" spans="1:10" ht="19.350000000000001" customHeight="1">
      <c r="A1105" s="102" t="s">
        <v>350</v>
      </c>
      <c r="B1105" s="102" t="s">
        <v>312</v>
      </c>
      <c r="C1105" s="116"/>
      <c r="F1105" s="58"/>
      <c r="G1105" s="10"/>
      <c r="H1105" s="59"/>
      <c r="I1105" s="60">
        <f>Tableau3[[#This Row],[Stock final]]*Tableau3[[#This Row],[P.U.]]</f>
        <v>0</v>
      </c>
      <c r="J1105" s="184"/>
    </row>
    <row r="1106" spans="1:10" ht="19.350000000000001" customHeight="1">
      <c r="A1106" s="102" t="s">
        <v>350</v>
      </c>
      <c r="B1106" s="102" t="s">
        <v>312</v>
      </c>
      <c r="C1106" s="116"/>
      <c r="F1106" s="58"/>
      <c r="G1106" s="10"/>
      <c r="H1106" s="90"/>
      <c r="I1106" s="60">
        <f>Tableau3[[#This Row],[Stock final]]*Tableau3[[#This Row],[P.U.]]</f>
        <v>0</v>
      </c>
      <c r="J1106" s="184"/>
    </row>
    <row r="1107" spans="1:10" ht="19.350000000000001" customHeight="1">
      <c r="A1107" s="102" t="s">
        <v>350</v>
      </c>
      <c r="B1107" s="102" t="s">
        <v>312</v>
      </c>
      <c r="C1107" s="116"/>
      <c r="F1107" s="58"/>
      <c r="G1107" s="10"/>
      <c r="H1107" s="59"/>
      <c r="I1107" s="60">
        <f>Tableau3[[#This Row],[Stock final]]*Tableau3[[#This Row],[P.U.]]</f>
        <v>0</v>
      </c>
      <c r="J1107" s="184"/>
    </row>
    <row r="1108" spans="1:10" ht="19.350000000000001" customHeight="1">
      <c r="A1108" s="102" t="s">
        <v>350</v>
      </c>
      <c r="B1108" s="102" t="s">
        <v>312</v>
      </c>
      <c r="C1108" s="116"/>
      <c r="F1108" s="58"/>
      <c r="G1108" s="10"/>
      <c r="H1108" s="90"/>
      <c r="I1108" s="60">
        <f>Tableau3[[#This Row],[Stock final]]*Tableau3[[#This Row],[P.U.]]</f>
        <v>0</v>
      </c>
      <c r="J1108" s="184"/>
    </row>
    <row r="1109" spans="1:10" ht="19.350000000000001" customHeight="1">
      <c r="A1109" s="102" t="s">
        <v>350</v>
      </c>
      <c r="B1109" s="102" t="s">
        <v>312</v>
      </c>
      <c r="C1109" s="116"/>
      <c r="F1109" s="58"/>
      <c r="G1109" s="10"/>
      <c r="H1109" s="59"/>
      <c r="I1109" s="60">
        <f>Tableau3[[#This Row],[Stock final]]*Tableau3[[#This Row],[P.U.]]</f>
        <v>0</v>
      </c>
      <c r="J1109" s="184"/>
    </row>
    <row r="1110" spans="1:10" ht="19.350000000000001" customHeight="1">
      <c r="A1110" s="102" t="s">
        <v>365</v>
      </c>
      <c r="B1110" s="102" t="s">
        <v>366</v>
      </c>
      <c r="C1110" s="116" t="s">
        <v>367</v>
      </c>
      <c r="D1110" s="11" t="s">
        <v>368</v>
      </c>
      <c r="F1110" s="58"/>
      <c r="G1110" s="10">
        <v>42</v>
      </c>
      <c r="H1110" s="59">
        <v>5.21</v>
      </c>
      <c r="I1110" s="60">
        <f>Tableau3[[#This Row],[Stock final]]*Tableau3[[#This Row],[P.U.]]</f>
        <v>218.82</v>
      </c>
      <c r="J1110" s="184"/>
    </row>
    <row r="1111" spans="1:10" ht="19.350000000000001" customHeight="1">
      <c r="A1111" s="102" t="s">
        <v>365</v>
      </c>
      <c r="B1111" s="102" t="s">
        <v>366</v>
      </c>
      <c r="C1111" s="116" t="s">
        <v>369</v>
      </c>
      <c r="D1111" s="11" t="s">
        <v>370</v>
      </c>
      <c r="F1111" s="58"/>
      <c r="G1111" s="10">
        <v>21</v>
      </c>
      <c r="H1111" s="59">
        <v>6.82</v>
      </c>
      <c r="I1111" s="60">
        <f>Tableau3[[#This Row],[Stock final]]*Tableau3[[#This Row],[P.U.]]</f>
        <v>143.22</v>
      </c>
      <c r="J1111" s="184"/>
    </row>
    <row r="1112" spans="1:10" ht="19.350000000000001" customHeight="1">
      <c r="A1112" s="102" t="s">
        <v>365</v>
      </c>
      <c r="B1112" s="102" t="s">
        <v>366</v>
      </c>
      <c r="C1112" s="116" t="s">
        <v>371</v>
      </c>
      <c r="D1112" s="11" t="s">
        <v>372</v>
      </c>
      <c r="F1112" s="58"/>
      <c r="G1112" s="10">
        <v>5</v>
      </c>
      <c r="H1112" s="59">
        <v>10.41</v>
      </c>
      <c r="I1112" s="60">
        <f>Tableau3[[#This Row],[Stock final]]*Tableau3[[#This Row],[P.U.]]</f>
        <v>52.05</v>
      </c>
      <c r="J1112" s="184"/>
    </row>
    <row r="1113" spans="1:10" ht="19.350000000000001" customHeight="1">
      <c r="A1113" s="102" t="s">
        <v>365</v>
      </c>
      <c r="B1113" s="102" t="s">
        <v>366</v>
      </c>
      <c r="C1113" s="116" t="s">
        <v>373</v>
      </c>
      <c r="D1113" s="11" t="s">
        <v>374</v>
      </c>
      <c r="F1113" s="58"/>
      <c r="G1113" s="10">
        <v>3</v>
      </c>
      <c r="H1113" s="59">
        <v>6.49</v>
      </c>
      <c r="I1113" s="60">
        <f>Tableau3[[#This Row],[Stock final]]*Tableau3[[#This Row],[P.U.]]</f>
        <v>19.47</v>
      </c>
      <c r="J1113" s="184"/>
    </row>
    <row r="1114" spans="1:10" ht="19.350000000000001" customHeight="1">
      <c r="A1114" s="102" t="s">
        <v>365</v>
      </c>
      <c r="B1114" s="102" t="s">
        <v>366</v>
      </c>
      <c r="C1114" s="116" t="s">
        <v>375</v>
      </c>
      <c r="D1114" s="11" t="s">
        <v>376</v>
      </c>
      <c r="F1114" s="58"/>
      <c r="G1114" s="10">
        <v>3</v>
      </c>
      <c r="H1114" s="59">
        <v>12.25</v>
      </c>
      <c r="I1114" s="60">
        <f>Tableau3[[#This Row],[Stock final]]*Tableau3[[#This Row],[P.U.]]</f>
        <v>36.75</v>
      </c>
      <c r="J1114" s="184"/>
    </row>
    <row r="1115" spans="1:10" ht="19.350000000000001" customHeight="1">
      <c r="A1115" s="102" t="s">
        <v>365</v>
      </c>
      <c r="B1115" s="102" t="s">
        <v>366</v>
      </c>
      <c r="C1115" s="116">
        <v>76565</v>
      </c>
      <c r="D1115" s="11" t="s">
        <v>377</v>
      </c>
      <c r="F1115" s="58"/>
      <c r="G1115" s="10">
        <v>10</v>
      </c>
      <c r="H1115" s="59">
        <v>16.63</v>
      </c>
      <c r="I1115" s="60">
        <f>Tableau3[[#This Row],[Stock final]]*Tableau3[[#This Row],[P.U.]]</f>
        <v>166.29999999999998</v>
      </c>
      <c r="J1115" s="184"/>
    </row>
    <row r="1116" spans="1:10" ht="19.350000000000001" customHeight="1">
      <c r="A1116" s="109" t="s">
        <v>365</v>
      </c>
      <c r="B1116" s="102" t="s">
        <v>366</v>
      </c>
      <c r="C1116" s="116">
        <v>76561</v>
      </c>
      <c r="D1116" s="11" t="s">
        <v>378</v>
      </c>
      <c r="F1116" s="58"/>
      <c r="G1116" s="10">
        <v>5</v>
      </c>
      <c r="H1116" s="59">
        <v>15.17</v>
      </c>
      <c r="I1116" s="60">
        <f>Tableau3[[#This Row],[Stock final]]*Tableau3[[#This Row],[P.U.]]</f>
        <v>75.849999999999994</v>
      </c>
      <c r="J1116" s="184"/>
    </row>
    <row r="1117" spans="1:10" ht="19.350000000000001" customHeight="1">
      <c r="A1117" s="102" t="s">
        <v>365</v>
      </c>
      <c r="B1117" s="102" t="s">
        <v>366</v>
      </c>
      <c r="C1117" s="116">
        <v>77071</v>
      </c>
      <c r="D1117" s="11" t="s">
        <v>379</v>
      </c>
      <c r="F1117" s="58"/>
      <c r="G1117" s="10">
        <v>3</v>
      </c>
      <c r="H1117" s="59">
        <v>3.02</v>
      </c>
      <c r="I1117" s="60">
        <f>Tableau3[[#This Row],[Stock final]]*Tableau3[[#This Row],[P.U.]]</f>
        <v>9.06</v>
      </c>
      <c r="J1117" s="184"/>
    </row>
    <row r="1118" spans="1:10" ht="19.350000000000001" customHeight="1">
      <c r="A1118" s="102" t="s">
        <v>365</v>
      </c>
      <c r="B1118" s="102" t="s">
        <v>366</v>
      </c>
      <c r="C1118" s="116"/>
      <c r="F1118" s="58"/>
      <c r="G1118" s="10"/>
      <c r="H1118" s="59"/>
      <c r="I1118" s="60">
        <f>Tableau3[[#This Row],[Stock final]]*Tableau3[[#This Row],[P.U.]]</f>
        <v>0</v>
      </c>
      <c r="J1118" s="184"/>
    </row>
    <row r="1119" spans="1:10" ht="19.350000000000001" customHeight="1">
      <c r="A1119" s="102" t="s">
        <v>365</v>
      </c>
      <c r="B1119" s="102" t="s">
        <v>366</v>
      </c>
      <c r="C1119" s="116"/>
      <c r="F1119" s="58"/>
      <c r="G1119" s="10"/>
      <c r="H1119" s="59"/>
      <c r="I1119" s="60">
        <f>Tableau3[[#This Row],[Stock final]]*Tableau3[[#This Row],[P.U.]]</f>
        <v>0</v>
      </c>
      <c r="J1119" s="184"/>
    </row>
    <row r="1120" spans="1:10" ht="19.350000000000001" customHeight="1">
      <c r="A1120" s="102" t="s">
        <v>365</v>
      </c>
      <c r="B1120" s="102" t="s">
        <v>366</v>
      </c>
      <c r="C1120" s="146"/>
      <c r="F1120" s="58"/>
      <c r="G1120" s="10"/>
      <c r="H1120" s="59"/>
      <c r="I1120" s="60">
        <f>Tableau3[[#This Row],[Stock final]]*Tableau3[[#This Row],[P.U.]]</f>
        <v>0</v>
      </c>
      <c r="J1120" s="184"/>
    </row>
    <row r="1121" spans="1:10" ht="19.350000000000001" customHeight="1">
      <c r="A1121" s="102" t="s">
        <v>365</v>
      </c>
      <c r="B1121" s="102" t="s">
        <v>366</v>
      </c>
      <c r="C1121" s="116"/>
      <c r="F1121" s="58"/>
      <c r="G1121" s="10"/>
      <c r="H1121" s="59"/>
      <c r="I1121" s="60">
        <f>Tableau3[[#This Row],[Stock final]]*Tableau3[[#This Row],[P.U.]]</f>
        <v>0</v>
      </c>
      <c r="J1121" s="184"/>
    </row>
    <row r="1122" spans="1:10" ht="19.350000000000001" customHeight="1">
      <c r="A1122" s="102" t="s">
        <v>365</v>
      </c>
      <c r="B1122" s="102" t="s">
        <v>366</v>
      </c>
      <c r="C1122" s="116"/>
      <c r="F1122" s="58"/>
      <c r="G1122" s="10"/>
      <c r="H1122" s="59"/>
      <c r="I1122" s="60">
        <f>Tableau3[[#This Row],[Stock final]]*Tableau3[[#This Row],[P.U.]]</f>
        <v>0</v>
      </c>
      <c r="J1122" s="184"/>
    </row>
    <row r="1123" spans="1:10" ht="19.350000000000001" customHeight="1">
      <c r="A1123" s="102" t="s">
        <v>365</v>
      </c>
      <c r="B1123" s="102" t="s">
        <v>366</v>
      </c>
      <c r="C1123" s="116"/>
      <c r="F1123" s="58"/>
      <c r="G1123" s="10"/>
      <c r="H1123" s="59"/>
      <c r="I1123" s="60">
        <f>Tableau3[[#This Row],[Stock final]]*Tableau3[[#This Row],[P.U.]]</f>
        <v>0</v>
      </c>
      <c r="J1123" s="184"/>
    </row>
    <row r="1124" spans="1:10" ht="19.350000000000001" customHeight="1">
      <c r="A1124" s="102" t="s">
        <v>365</v>
      </c>
      <c r="B1124" s="102" t="s">
        <v>366</v>
      </c>
      <c r="C1124" s="116"/>
      <c r="F1124" s="58"/>
      <c r="G1124" s="10"/>
      <c r="H1124" s="59"/>
      <c r="I1124" s="60">
        <f>Tableau3[[#This Row],[Stock final]]*Tableau3[[#This Row],[P.U.]]</f>
        <v>0</v>
      </c>
      <c r="J1124" s="184"/>
    </row>
    <row r="1125" spans="1:10" ht="19.350000000000001" customHeight="1">
      <c r="A1125" s="102" t="s">
        <v>365</v>
      </c>
      <c r="B1125" s="102" t="s">
        <v>366</v>
      </c>
      <c r="C1125" s="116"/>
      <c r="F1125" s="58"/>
      <c r="G1125" s="10"/>
      <c r="H1125" s="59"/>
      <c r="I1125" s="60">
        <f>Tableau3[[#This Row],[Stock final]]*Tableau3[[#This Row],[P.U.]]</f>
        <v>0</v>
      </c>
      <c r="J1125" s="184"/>
    </row>
    <row r="1126" spans="1:10" ht="19.350000000000001" customHeight="1">
      <c r="A1126" s="102" t="s">
        <v>365</v>
      </c>
      <c r="B1126" s="102" t="s">
        <v>366</v>
      </c>
      <c r="C1126" s="116"/>
      <c r="F1126" s="58"/>
      <c r="G1126" s="10"/>
      <c r="H1126" s="59"/>
      <c r="I1126" s="60">
        <f>Tableau3[[#This Row],[Stock final]]*Tableau3[[#This Row],[P.U.]]</f>
        <v>0</v>
      </c>
      <c r="J1126" s="184"/>
    </row>
    <row r="1127" spans="1:10" ht="19.350000000000001" customHeight="1">
      <c r="A1127" s="102" t="s">
        <v>365</v>
      </c>
      <c r="B1127" s="102" t="s">
        <v>366</v>
      </c>
      <c r="C1127" s="116"/>
      <c r="F1127" s="58"/>
      <c r="G1127" s="10"/>
      <c r="H1127" s="59"/>
      <c r="I1127" s="60">
        <f>Tableau3[[#This Row],[Stock final]]*Tableau3[[#This Row],[P.U.]]</f>
        <v>0</v>
      </c>
      <c r="J1127" s="184"/>
    </row>
    <row r="1128" spans="1:10" ht="19.350000000000001" customHeight="1">
      <c r="A1128" s="102" t="s">
        <v>365</v>
      </c>
      <c r="B1128" s="102" t="s">
        <v>366</v>
      </c>
      <c r="C1128" s="116"/>
      <c r="F1128" s="58"/>
      <c r="G1128" s="10"/>
      <c r="H1128" s="59"/>
      <c r="I1128" s="60">
        <f>Tableau3[[#This Row],[Stock final]]*Tableau3[[#This Row],[P.U.]]</f>
        <v>0</v>
      </c>
      <c r="J1128" s="184"/>
    </row>
    <row r="1129" spans="1:10" ht="19.350000000000001" customHeight="1">
      <c r="A1129" s="102" t="s">
        <v>365</v>
      </c>
      <c r="B1129" s="102" t="s">
        <v>366</v>
      </c>
      <c r="C1129" s="116"/>
      <c r="F1129" s="58"/>
      <c r="G1129" s="10"/>
      <c r="H1129" s="59"/>
      <c r="I1129" s="60">
        <f>Tableau3[[#This Row],[Stock final]]*Tableau3[[#This Row],[P.U.]]</f>
        <v>0</v>
      </c>
      <c r="J1129" s="184"/>
    </row>
    <row r="1130" spans="1:10" ht="19.350000000000001" customHeight="1">
      <c r="A1130" s="102" t="s">
        <v>365</v>
      </c>
      <c r="B1130" s="102" t="s">
        <v>366</v>
      </c>
      <c r="C1130" s="116"/>
      <c r="F1130" s="58"/>
      <c r="G1130" s="10"/>
      <c r="H1130" s="59"/>
      <c r="I1130" s="60">
        <f>Tableau3[[#This Row],[Stock final]]*Tableau3[[#This Row],[P.U.]]</f>
        <v>0</v>
      </c>
      <c r="J1130" s="184"/>
    </row>
    <row r="1131" spans="1:10" ht="19.350000000000001" customHeight="1">
      <c r="A1131" s="102" t="s">
        <v>365</v>
      </c>
      <c r="B1131" s="102" t="s">
        <v>366</v>
      </c>
      <c r="C1131" s="116"/>
      <c r="F1131" s="58"/>
      <c r="G1131" s="10"/>
      <c r="H1131" s="59"/>
      <c r="I1131" s="60">
        <f>Tableau3[[#This Row],[Stock final]]*Tableau3[[#This Row],[P.U.]]</f>
        <v>0</v>
      </c>
      <c r="J1131" s="184"/>
    </row>
    <row r="1132" spans="1:10" ht="19.350000000000001" customHeight="1">
      <c r="A1132" s="102" t="s">
        <v>365</v>
      </c>
      <c r="B1132" s="102" t="s">
        <v>366</v>
      </c>
      <c r="C1132" s="116"/>
      <c r="F1132" s="58"/>
      <c r="G1132" s="10"/>
      <c r="H1132" s="59"/>
      <c r="I1132" s="60">
        <f>Tableau3[[#This Row],[Stock final]]*Tableau3[[#This Row],[P.U.]]</f>
        <v>0</v>
      </c>
      <c r="J1132" s="184"/>
    </row>
    <row r="1133" spans="1:10" ht="19.350000000000001" customHeight="1">
      <c r="A1133" s="102" t="s">
        <v>365</v>
      </c>
      <c r="B1133" s="102" t="s">
        <v>366</v>
      </c>
      <c r="C1133" s="116"/>
      <c r="F1133" s="58"/>
      <c r="G1133" s="10"/>
      <c r="H1133" s="59"/>
      <c r="I1133" s="60">
        <f>Tableau3[[#This Row],[Stock final]]*Tableau3[[#This Row],[P.U.]]</f>
        <v>0</v>
      </c>
      <c r="J1133" s="184"/>
    </row>
    <row r="1134" spans="1:10" ht="19.350000000000001" customHeight="1">
      <c r="A1134" s="102" t="s">
        <v>365</v>
      </c>
      <c r="B1134" s="102" t="s">
        <v>366</v>
      </c>
      <c r="C1134" s="116"/>
      <c r="F1134" s="58"/>
      <c r="G1134" s="10"/>
      <c r="H1134" s="59"/>
      <c r="I1134" s="60">
        <f>Tableau3[[#This Row],[Stock final]]*Tableau3[[#This Row],[P.U.]]</f>
        <v>0</v>
      </c>
      <c r="J1134" s="184"/>
    </row>
    <row r="1135" spans="1:10" ht="19.350000000000001" customHeight="1">
      <c r="A1135" s="102" t="s">
        <v>365</v>
      </c>
      <c r="B1135" s="102" t="s">
        <v>366</v>
      </c>
      <c r="C1135" s="116"/>
      <c r="F1135" s="58"/>
      <c r="G1135" s="10"/>
      <c r="H1135" s="59"/>
      <c r="I1135" s="60">
        <f>Tableau3[[#This Row],[Stock final]]*Tableau3[[#This Row],[P.U.]]</f>
        <v>0</v>
      </c>
      <c r="J1135" s="184"/>
    </row>
    <row r="1136" spans="1:10" ht="19.350000000000001" customHeight="1">
      <c r="A1136" s="102" t="s">
        <v>380</v>
      </c>
      <c r="B1136" s="156" t="s">
        <v>381</v>
      </c>
      <c r="C1136" s="116" t="s">
        <v>382</v>
      </c>
      <c r="D1136" s="11" t="s">
        <v>368</v>
      </c>
      <c r="F1136" s="58"/>
      <c r="G1136" s="10"/>
      <c r="H1136" s="59">
        <v>3.78</v>
      </c>
      <c r="I1136" s="60">
        <f>Tableau3[[#This Row],[Stock final]]*Tableau3[[#This Row],[P.U.]]</f>
        <v>0</v>
      </c>
      <c r="J1136" s="184"/>
    </row>
    <row r="1137" spans="1:10" ht="19.350000000000001" customHeight="1">
      <c r="A1137" s="102" t="s">
        <v>380</v>
      </c>
      <c r="B1137" s="156" t="s">
        <v>381</v>
      </c>
      <c r="C1137" s="116" t="s">
        <v>383</v>
      </c>
      <c r="D1137" s="11" t="s">
        <v>384</v>
      </c>
      <c r="F1137" s="58"/>
      <c r="G1137" s="10">
        <v>28</v>
      </c>
      <c r="H1137" s="59">
        <v>3.78</v>
      </c>
      <c r="I1137" s="60">
        <f>Tableau3[[#This Row],[Stock final]]*Tableau3[[#This Row],[P.U.]]</f>
        <v>105.83999999999999</v>
      </c>
      <c r="J1137" s="184"/>
    </row>
    <row r="1138" spans="1:10" ht="19.350000000000001" customHeight="1">
      <c r="A1138" s="102" t="s">
        <v>380</v>
      </c>
      <c r="B1138" s="156" t="s">
        <v>381</v>
      </c>
      <c r="C1138" s="160" t="s">
        <v>385</v>
      </c>
      <c r="D1138" s="11" t="s">
        <v>386</v>
      </c>
      <c r="F1138" s="58"/>
      <c r="G1138" s="10">
        <v>2</v>
      </c>
      <c r="H1138" s="59">
        <v>32.549999999999997</v>
      </c>
      <c r="I1138" s="60">
        <f>Tableau3[[#This Row],[Stock final]]*Tableau3[[#This Row],[P.U.]]</f>
        <v>65.099999999999994</v>
      </c>
      <c r="J1138" s="184"/>
    </row>
    <row r="1139" spans="1:10" ht="19.350000000000001" customHeight="1">
      <c r="A1139" s="102" t="s">
        <v>380</v>
      </c>
      <c r="B1139" s="156" t="s">
        <v>381</v>
      </c>
      <c r="C1139" s="116" t="s">
        <v>387</v>
      </c>
      <c r="D1139" s="11" t="s">
        <v>388</v>
      </c>
      <c r="F1139" s="58"/>
      <c r="G1139" s="10"/>
      <c r="H1139" s="59">
        <v>4.4400000000000004</v>
      </c>
      <c r="I1139" s="60">
        <f>Tableau3[[#This Row],[Stock final]]*Tableau3[[#This Row],[P.U.]]</f>
        <v>0</v>
      </c>
      <c r="J1139" s="184"/>
    </row>
    <row r="1140" spans="1:10" ht="19.350000000000001" customHeight="1">
      <c r="A1140" s="102" t="s">
        <v>380</v>
      </c>
      <c r="B1140" s="156" t="s">
        <v>381</v>
      </c>
      <c r="C1140" s="116" t="s">
        <v>389</v>
      </c>
      <c r="D1140" s="11" t="s">
        <v>390</v>
      </c>
      <c r="F1140" s="58"/>
      <c r="G1140" s="10">
        <v>4</v>
      </c>
      <c r="H1140" s="59">
        <v>4.8499999999999996</v>
      </c>
      <c r="I1140" s="60">
        <f>Tableau3[[#This Row],[Stock final]]*Tableau3[[#This Row],[P.U.]]</f>
        <v>19.399999999999999</v>
      </c>
      <c r="J1140" s="184"/>
    </row>
    <row r="1141" spans="1:10" ht="19.350000000000001" customHeight="1">
      <c r="A1141" s="102" t="s">
        <v>380</v>
      </c>
      <c r="B1141" s="156" t="s">
        <v>381</v>
      </c>
      <c r="C1141" s="116" t="s">
        <v>391</v>
      </c>
      <c r="D1141" s="11" t="s">
        <v>392</v>
      </c>
      <c r="F1141" s="58"/>
      <c r="G1141" s="10">
        <v>10</v>
      </c>
      <c r="H1141" s="59">
        <v>12.56</v>
      </c>
      <c r="I1141" s="60">
        <f>Tableau3[[#This Row],[Stock final]]*Tableau3[[#This Row],[P.U.]]</f>
        <v>125.60000000000001</v>
      </c>
      <c r="J1141" s="184"/>
    </row>
    <row r="1142" spans="1:10" ht="19.350000000000001" customHeight="1">
      <c r="A1142" s="102" t="s">
        <v>380</v>
      </c>
      <c r="B1142" s="156" t="s">
        <v>381</v>
      </c>
      <c r="C1142" s="116" t="s">
        <v>393</v>
      </c>
      <c r="D1142" s="11" t="s">
        <v>394</v>
      </c>
      <c r="F1142" s="58"/>
      <c r="G1142" s="10">
        <v>8</v>
      </c>
      <c r="H1142" s="59">
        <v>13.82</v>
      </c>
      <c r="I1142" s="60">
        <f>Tableau3[[#This Row],[Stock final]]*Tableau3[[#This Row],[P.U.]]</f>
        <v>110.56</v>
      </c>
      <c r="J1142" s="184"/>
    </row>
    <row r="1143" spans="1:10" ht="19.350000000000001" customHeight="1">
      <c r="A1143" s="102" t="s">
        <v>380</v>
      </c>
      <c r="B1143" s="156" t="s">
        <v>381</v>
      </c>
      <c r="C1143" s="116" t="s">
        <v>395</v>
      </c>
      <c r="D1143" s="11" t="s">
        <v>377</v>
      </c>
      <c r="F1143" s="58"/>
      <c r="G1143" s="10">
        <v>2</v>
      </c>
      <c r="H1143" s="59">
        <v>13.1</v>
      </c>
      <c r="I1143" s="60">
        <f>Tableau3[[#This Row],[Stock final]]*Tableau3[[#This Row],[P.U.]]</f>
        <v>26.2</v>
      </c>
      <c r="J1143" s="184"/>
    </row>
    <row r="1144" spans="1:10" ht="19.350000000000001" customHeight="1">
      <c r="A1144" s="102" t="s">
        <v>380</v>
      </c>
      <c r="B1144" s="156" t="s">
        <v>381</v>
      </c>
      <c r="C1144" s="116" t="s">
        <v>396</v>
      </c>
      <c r="D1144" s="11" t="s">
        <v>358</v>
      </c>
      <c r="F1144" s="58"/>
      <c r="G1144" s="10">
        <v>6</v>
      </c>
      <c r="H1144" s="59">
        <v>9.1999999999999993</v>
      </c>
      <c r="I1144" s="60">
        <f>Tableau3[[#This Row],[Stock final]]*Tableau3[[#This Row],[P.U.]]</f>
        <v>55.199999999999996</v>
      </c>
      <c r="J1144" s="184"/>
    </row>
    <row r="1145" spans="1:10" ht="19.350000000000001" customHeight="1">
      <c r="A1145" s="102" t="s">
        <v>380</v>
      </c>
      <c r="B1145" s="156" t="s">
        <v>381</v>
      </c>
      <c r="C1145" s="116" t="s">
        <v>397</v>
      </c>
      <c r="D1145" s="11" t="s">
        <v>398</v>
      </c>
      <c r="F1145" s="58"/>
      <c r="G1145" s="10"/>
      <c r="H1145" s="59">
        <v>5.94</v>
      </c>
      <c r="I1145" s="60">
        <f>Tableau3[[#This Row],[Stock final]]*Tableau3[[#This Row],[P.U.]]</f>
        <v>0</v>
      </c>
      <c r="J1145" s="184"/>
    </row>
    <row r="1146" spans="1:10" ht="19.350000000000001" customHeight="1">
      <c r="A1146" s="102" t="s">
        <v>380</v>
      </c>
      <c r="B1146" s="156" t="s">
        <v>381</v>
      </c>
      <c r="C1146" s="116" t="s">
        <v>399</v>
      </c>
      <c r="D1146" s="11" t="s">
        <v>400</v>
      </c>
      <c r="F1146" s="58"/>
      <c r="G1146" s="10">
        <v>70</v>
      </c>
      <c r="H1146" s="59">
        <v>35.700000000000003</v>
      </c>
      <c r="I1146" s="60">
        <f>Tableau3[[#This Row],[Stock final]]*Tableau3[[#This Row],[P.U.]]</f>
        <v>2499</v>
      </c>
      <c r="J1146" s="184"/>
    </row>
    <row r="1147" spans="1:10" ht="19.350000000000001" customHeight="1">
      <c r="A1147" s="102" t="s">
        <v>380</v>
      </c>
      <c r="B1147" s="156" t="s">
        <v>381</v>
      </c>
      <c r="C1147" s="116" t="s">
        <v>401</v>
      </c>
      <c r="D1147" s="11" t="s">
        <v>402</v>
      </c>
      <c r="F1147" s="107"/>
      <c r="G1147" s="10">
        <v>21</v>
      </c>
      <c r="H1147" s="103">
        <v>1.43</v>
      </c>
      <c r="I1147" s="108">
        <f>Tableau3[[#This Row],[Stock final]]*Tableau3[[#This Row],[P.U.]]</f>
        <v>30.029999999999998</v>
      </c>
      <c r="J1147" s="184"/>
    </row>
    <row r="1148" spans="1:10" ht="19.350000000000001" customHeight="1">
      <c r="A1148" s="102" t="s">
        <v>380</v>
      </c>
      <c r="B1148" s="156" t="s">
        <v>381</v>
      </c>
      <c r="C1148" s="116" t="s">
        <v>403</v>
      </c>
      <c r="D1148" s="11" t="s">
        <v>404</v>
      </c>
      <c r="F1148" s="107"/>
      <c r="G1148" s="10">
        <v>24</v>
      </c>
      <c r="H1148" s="103">
        <v>3.16</v>
      </c>
      <c r="I1148" s="108">
        <f>Tableau3[[#This Row],[Stock final]]*Tableau3[[#This Row],[P.U.]]</f>
        <v>75.84</v>
      </c>
      <c r="J1148" s="184"/>
    </row>
    <row r="1149" spans="1:10" ht="19.350000000000001" customHeight="1">
      <c r="A1149" s="102" t="s">
        <v>380</v>
      </c>
      <c r="B1149" s="156" t="s">
        <v>381</v>
      </c>
      <c r="C1149" s="116" t="s">
        <v>405</v>
      </c>
      <c r="D1149" s="11" t="s">
        <v>407</v>
      </c>
      <c r="F1149" s="107"/>
      <c r="G1149" s="10"/>
      <c r="H1149" s="103">
        <v>7.49</v>
      </c>
      <c r="I1149" s="108">
        <f>Tableau3[[#This Row],[Stock final]]*Tableau3[[#This Row],[P.U.]]</f>
        <v>0</v>
      </c>
      <c r="J1149" s="184"/>
    </row>
    <row r="1150" spans="1:10" ht="19.350000000000001" customHeight="1">
      <c r="A1150" s="102" t="s">
        <v>380</v>
      </c>
      <c r="B1150" s="156" t="s">
        <v>381</v>
      </c>
      <c r="C1150" s="116" t="s">
        <v>406</v>
      </c>
      <c r="D1150" s="11" t="s">
        <v>408</v>
      </c>
      <c r="F1150" s="107"/>
      <c r="G1150" s="10"/>
      <c r="H1150" s="103">
        <v>7.51</v>
      </c>
      <c r="I1150" s="108">
        <f>Tableau3[[#This Row],[Stock final]]*Tableau3[[#This Row],[P.U.]]</f>
        <v>0</v>
      </c>
      <c r="J1150" s="184"/>
    </row>
    <row r="1151" spans="1:10" ht="19.350000000000001" customHeight="1">
      <c r="A1151" s="102" t="s">
        <v>380</v>
      </c>
      <c r="B1151" s="156" t="s">
        <v>381</v>
      </c>
      <c r="C1151" s="116"/>
      <c r="F1151" s="107"/>
      <c r="G1151" s="10"/>
      <c r="H1151" s="103"/>
      <c r="I1151" s="108">
        <f>Tableau3[[#This Row],[Stock final]]*Tableau3[[#This Row],[P.U.]]</f>
        <v>0</v>
      </c>
      <c r="J1151" s="184"/>
    </row>
    <row r="1152" spans="1:10" ht="19.350000000000001" customHeight="1">
      <c r="A1152" s="102" t="s">
        <v>380</v>
      </c>
      <c r="B1152" s="156" t="s">
        <v>381</v>
      </c>
      <c r="C1152" s="116"/>
      <c r="F1152" s="107"/>
      <c r="G1152" s="10"/>
      <c r="H1152" s="103"/>
      <c r="I1152" s="108">
        <f>Tableau3[[#This Row],[Stock final]]*Tableau3[[#This Row],[P.U.]]</f>
        <v>0</v>
      </c>
      <c r="J1152" s="184"/>
    </row>
    <row r="1153" spans="1:10" ht="19.350000000000001" customHeight="1">
      <c r="A1153" s="102" t="s">
        <v>380</v>
      </c>
      <c r="B1153" s="156" t="s">
        <v>381</v>
      </c>
      <c r="C1153" s="116"/>
      <c r="F1153" s="107"/>
      <c r="G1153" s="10"/>
      <c r="H1153" s="103"/>
      <c r="I1153" s="108">
        <f>Tableau3[[#This Row],[Stock final]]*Tableau3[[#This Row],[P.U.]]</f>
        <v>0</v>
      </c>
      <c r="J1153" s="184"/>
    </row>
    <row r="1154" spans="1:10" ht="19.350000000000001" customHeight="1">
      <c r="A1154" s="102" t="s">
        <v>380</v>
      </c>
      <c r="B1154" s="156" t="s">
        <v>381</v>
      </c>
      <c r="C1154" s="116"/>
      <c r="F1154" s="107"/>
      <c r="G1154" s="10"/>
      <c r="H1154" s="103"/>
      <c r="I1154" s="108">
        <f>Tableau3[[#This Row],[Stock final]]*Tableau3[[#This Row],[P.U.]]</f>
        <v>0</v>
      </c>
      <c r="J1154" s="184"/>
    </row>
    <row r="1155" spans="1:10" ht="19.350000000000001" customHeight="1">
      <c r="A1155" s="102" t="s">
        <v>380</v>
      </c>
      <c r="B1155" s="156" t="s">
        <v>381</v>
      </c>
      <c r="C1155" s="116"/>
      <c r="F1155" s="107"/>
      <c r="G1155" s="10"/>
      <c r="H1155" s="103"/>
      <c r="I1155" s="108">
        <f>Tableau3[[#This Row],[Stock final]]*Tableau3[[#This Row],[P.U.]]</f>
        <v>0</v>
      </c>
      <c r="J1155" s="184"/>
    </row>
    <row r="1156" spans="1:10" ht="19.350000000000001" customHeight="1">
      <c r="A1156" s="102" t="s">
        <v>380</v>
      </c>
      <c r="B1156" s="156" t="s">
        <v>381</v>
      </c>
      <c r="C1156" s="116"/>
      <c r="F1156" s="107"/>
      <c r="G1156" s="10"/>
      <c r="H1156" s="103"/>
      <c r="I1156" s="108">
        <f>Tableau3[[#This Row],[Stock final]]*Tableau3[[#This Row],[P.U.]]</f>
        <v>0</v>
      </c>
      <c r="J1156" s="184"/>
    </row>
    <row r="1157" spans="1:10" ht="19.350000000000001" customHeight="1">
      <c r="A1157" s="102" t="s">
        <v>380</v>
      </c>
      <c r="B1157" s="156" t="s">
        <v>381</v>
      </c>
      <c r="C1157" s="116"/>
      <c r="F1157" s="107"/>
      <c r="G1157" s="10"/>
      <c r="H1157" s="103"/>
      <c r="I1157" s="108">
        <f>Tableau3[[#This Row],[Stock final]]*Tableau3[[#This Row],[P.U.]]</f>
        <v>0</v>
      </c>
      <c r="J1157" s="184"/>
    </row>
    <row r="1158" spans="1:10" ht="19.350000000000001" customHeight="1">
      <c r="A1158" s="102" t="s">
        <v>380</v>
      </c>
      <c r="B1158" s="156" t="s">
        <v>381</v>
      </c>
      <c r="C1158" s="116"/>
      <c r="F1158" s="107"/>
      <c r="G1158" s="10"/>
      <c r="H1158" s="103"/>
      <c r="I1158" s="108">
        <f>Tableau3[[#This Row],[Stock final]]*Tableau3[[#This Row],[P.U.]]</f>
        <v>0</v>
      </c>
      <c r="J1158" s="184"/>
    </row>
    <row r="1159" spans="1:10" ht="19.350000000000001" customHeight="1">
      <c r="A1159" s="102" t="s">
        <v>380</v>
      </c>
      <c r="B1159" s="156" t="s">
        <v>381</v>
      </c>
      <c r="C1159" s="116"/>
      <c r="F1159" s="107"/>
      <c r="G1159" s="10"/>
      <c r="H1159" s="103"/>
      <c r="I1159" s="108">
        <f>Tableau3[[#This Row],[Stock final]]*Tableau3[[#This Row],[P.U.]]</f>
        <v>0</v>
      </c>
      <c r="J1159" s="184"/>
    </row>
    <row r="1160" spans="1:10" ht="19.350000000000001" customHeight="1">
      <c r="A1160" s="102" t="s">
        <v>380</v>
      </c>
      <c r="B1160" s="156" t="s">
        <v>381</v>
      </c>
      <c r="C1160" s="116"/>
      <c r="F1160" s="107"/>
      <c r="G1160" s="10"/>
      <c r="H1160" s="103"/>
      <c r="I1160" s="108">
        <f>Tableau3[[#This Row],[Stock final]]*Tableau3[[#This Row],[P.U.]]</f>
        <v>0</v>
      </c>
      <c r="J1160" s="184"/>
    </row>
    <row r="1161" spans="1:10" ht="19.350000000000001" customHeight="1">
      <c r="A1161" s="102" t="s">
        <v>380</v>
      </c>
      <c r="B1161" s="156" t="s">
        <v>381</v>
      </c>
      <c r="C1161" s="116"/>
      <c r="F1161" s="107"/>
      <c r="G1161" s="10"/>
      <c r="H1161" s="103"/>
      <c r="I1161" s="108">
        <f>Tableau3[[#This Row],[Stock final]]*Tableau3[[#This Row],[P.U.]]</f>
        <v>0</v>
      </c>
      <c r="J1161" s="184"/>
    </row>
    <row r="1162" spans="1:10" ht="19.350000000000001" customHeight="1">
      <c r="A1162" s="102" t="s">
        <v>380</v>
      </c>
      <c r="B1162" s="102"/>
      <c r="C1162" s="116"/>
      <c r="F1162" s="107"/>
      <c r="G1162" s="10"/>
      <c r="H1162" s="103"/>
      <c r="I1162" s="108">
        <f>Tableau3[[#This Row],[Stock final]]*Tableau3[[#This Row],[P.U.]]</f>
        <v>0</v>
      </c>
      <c r="J1162" s="184"/>
    </row>
    <row r="1163" spans="1:10" ht="19.350000000000001" customHeight="1">
      <c r="A1163" s="102" t="s">
        <v>380</v>
      </c>
      <c r="B1163" s="102"/>
      <c r="C1163" s="116"/>
      <c r="F1163" s="107"/>
      <c r="G1163" s="10"/>
      <c r="H1163" s="103"/>
      <c r="I1163" s="108">
        <f>Tableau3[[#This Row],[Stock final]]*Tableau3[[#This Row],[P.U.]]</f>
        <v>0</v>
      </c>
      <c r="J1163" s="184"/>
    </row>
    <row r="1164" spans="1:10" ht="19.350000000000001" customHeight="1">
      <c r="A1164" s="102" t="s">
        <v>380</v>
      </c>
      <c r="B1164" s="102"/>
      <c r="C1164" s="116"/>
      <c r="F1164" s="107"/>
      <c r="G1164" s="10"/>
      <c r="H1164" s="103"/>
      <c r="I1164" s="108">
        <f>Tableau3[[#This Row],[Stock final]]*Tableau3[[#This Row],[P.U.]]</f>
        <v>0</v>
      </c>
      <c r="J1164" s="184"/>
    </row>
    <row r="1165" spans="1:10" ht="19.350000000000001" customHeight="1">
      <c r="A1165" s="102" t="s">
        <v>380</v>
      </c>
      <c r="B1165" s="102"/>
      <c r="C1165" s="116"/>
      <c r="F1165" s="107"/>
      <c r="G1165" s="10"/>
      <c r="H1165" s="103"/>
      <c r="I1165" s="108">
        <f>Tableau3[[#This Row],[Stock final]]*Tableau3[[#This Row],[P.U.]]</f>
        <v>0</v>
      </c>
      <c r="J1165" s="184"/>
    </row>
    <row r="1166" spans="1:10" ht="19.350000000000001" customHeight="1">
      <c r="A1166" s="102" t="s">
        <v>380</v>
      </c>
      <c r="B1166" s="102"/>
      <c r="C1166" s="116"/>
      <c r="F1166" s="107"/>
      <c r="G1166" s="10"/>
      <c r="H1166" s="103"/>
      <c r="I1166" s="108">
        <f>Tableau3[[#This Row],[Stock final]]*Tableau3[[#This Row],[P.U.]]</f>
        <v>0</v>
      </c>
      <c r="J1166" s="184"/>
    </row>
    <row r="1167" spans="1:10" ht="19.350000000000001" customHeight="1">
      <c r="A1167" s="102" t="s">
        <v>380</v>
      </c>
      <c r="B1167" s="102"/>
      <c r="C1167" s="116"/>
      <c r="F1167" s="107"/>
      <c r="G1167" s="10"/>
      <c r="H1167" s="103"/>
      <c r="I1167" s="108">
        <f>Tableau3[[#This Row],[Stock final]]*Tableau3[[#This Row],[P.U.]]</f>
        <v>0</v>
      </c>
      <c r="J1167" s="184"/>
    </row>
    <row r="1168" spans="1:10" ht="19.350000000000001" customHeight="1">
      <c r="A1168" s="102" t="s">
        <v>380</v>
      </c>
      <c r="B1168" s="102"/>
      <c r="C1168" s="116"/>
      <c r="F1168" s="107"/>
      <c r="G1168" s="10"/>
      <c r="H1168" s="103"/>
      <c r="I1168" s="108">
        <f>Tableau3[[#This Row],[Stock final]]*Tableau3[[#This Row],[P.U.]]</f>
        <v>0</v>
      </c>
      <c r="J1168" s="184"/>
    </row>
    <row r="1169" spans="1:10" ht="19.350000000000001" customHeight="1">
      <c r="A1169" s="102" t="s">
        <v>380</v>
      </c>
      <c r="B1169" s="102"/>
      <c r="C1169" s="116"/>
      <c r="F1169" s="107"/>
      <c r="G1169" s="10"/>
      <c r="H1169" s="103"/>
      <c r="I1169" s="108">
        <f>Tableau3[[#This Row],[Stock final]]*Tableau3[[#This Row],[P.U.]]</f>
        <v>0</v>
      </c>
      <c r="J1169" s="184"/>
    </row>
    <row r="1170" spans="1:10" ht="19.350000000000001" customHeight="1">
      <c r="A1170" s="102" t="s">
        <v>380</v>
      </c>
      <c r="B1170" s="102"/>
      <c r="C1170" s="116"/>
      <c r="F1170" s="107"/>
      <c r="G1170" s="10"/>
      <c r="H1170" s="103"/>
      <c r="I1170" s="108">
        <f>Tableau3[[#This Row],[Stock final]]*Tableau3[[#This Row],[P.U.]]</f>
        <v>0</v>
      </c>
      <c r="J1170" s="184"/>
    </row>
    <row r="1171" spans="1:10" ht="19.350000000000001" customHeight="1">
      <c r="A1171" s="102" t="s">
        <v>380</v>
      </c>
      <c r="B1171" s="102"/>
      <c r="C1171" s="116"/>
      <c r="F1171" s="107"/>
      <c r="G1171" s="10"/>
      <c r="H1171" s="103"/>
      <c r="I1171" s="108">
        <f>Tableau3[[#This Row],[Stock final]]*Tableau3[[#This Row],[P.U.]]</f>
        <v>0</v>
      </c>
      <c r="J1171" s="184"/>
    </row>
    <row r="1172" spans="1:10" ht="19.350000000000001" customHeight="1">
      <c r="A1172" s="102" t="s">
        <v>380</v>
      </c>
      <c r="B1172" s="102"/>
      <c r="C1172" s="116"/>
      <c r="F1172" s="107"/>
      <c r="G1172" s="10"/>
      <c r="H1172" s="103"/>
      <c r="I1172" s="108">
        <f>Tableau3[[#This Row],[Stock final]]*Tableau3[[#This Row],[P.U.]]</f>
        <v>0</v>
      </c>
      <c r="J1172" s="184"/>
    </row>
    <row r="1173" spans="1:10" ht="19.350000000000001" customHeight="1">
      <c r="A1173" s="102" t="s">
        <v>380</v>
      </c>
      <c r="B1173" s="102"/>
      <c r="C1173" s="116"/>
      <c r="F1173" s="107"/>
      <c r="G1173" s="10"/>
      <c r="H1173" s="103"/>
      <c r="I1173" s="108">
        <f>Tableau3[[#This Row],[Stock final]]*Tableau3[[#This Row],[P.U.]]</f>
        <v>0</v>
      </c>
      <c r="J1173" s="184"/>
    </row>
    <row r="1174" spans="1:10" ht="19.350000000000001" customHeight="1">
      <c r="A1174" s="102" t="s">
        <v>380</v>
      </c>
      <c r="B1174" s="102"/>
      <c r="C1174" s="116"/>
      <c r="F1174" s="107"/>
      <c r="G1174" s="10"/>
      <c r="H1174" s="103"/>
      <c r="I1174" s="108">
        <f>Tableau3[[#This Row],[Stock final]]*Tableau3[[#This Row],[P.U.]]</f>
        <v>0</v>
      </c>
      <c r="J1174" s="184"/>
    </row>
    <row r="1175" spans="1:10" ht="19.350000000000001" customHeight="1">
      <c r="A1175" s="102" t="s">
        <v>380</v>
      </c>
      <c r="B1175" s="102"/>
      <c r="C1175" s="116"/>
      <c r="F1175" s="107"/>
      <c r="G1175" s="10"/>
      <c r="H1175" s="103"/>
      <c r="I1175" s="108">
        <f>Tableau3[[#This Row],[Stock final]]*Tableau3[[#This Row],[P.U.]]</f>
        <v>0</v>
      </c>
      <c r="J1175" s="184"/>
    </row>
    <row r="1176" spans="1:10" ht="19.350000000000001" customHeight="1">
      <c r="A1176" s="102" t="s">
        <v>380</v>
      </c>
      <c r="B1176" s="102"/>
      <c r="C1176" s="116"/>
      <c r="F1176" s="107"/>
      <c r="G1176" s="10"/>
      <c r="H1176" s="103"/>
      <c r="I1176" s="108">
        <f>Tableau3[[#This Row],[Stock final]]*Tableau3[[#This Row],[P.U.]]</f>
        <v>0</v>
      </c>
      <c r="J1176" s="184"/>
    </row>
    <row r="1177" spans="1:10" ht="19.350000000000001" customHeight="1">
      <c r="A1177" s="102" t="s">
        <v>380</v>
      </c>
      <c r="B1177" s="102"/>
      <c r="C1177" s="116"/>
      <c r="F1177" s="107"/>
      <c r="G1177" s="10"/>
      <c r="H1177" s="103"/>
      <c r="I1177" s="108">
        <f>Tableau3[[#This Row],[Stock final]]*Tableau3[[#This Row],[P.U.]]</f>
        <v>0</v>
      </c>
      <c r="J1177" s="184"/>
    </row>
    <row r="1178" spans="1:10" ht="19.350000000000001" customHeight="1">
      <c r="A1178" s="102" t="s">
        <v>380</v>
      </c>
      <c r="B1178" s="102"/>
      <c r="C1178" s="116"/>
      <c r="F1178" s="107"/>
      <c r="G1178" s="10"/>
      <c r="H1178" s="103"/>
      <c r="I1178" s="108">
        <f>Tableau3[[#This Row],[Stock final]]*Tableau3[[#This Row],[P.U.]]</f>
        <v>0</v>
      </c>
      <c r="J1178" s="184"/>
    </row>
    <row r="1179" spans="1:10" ht="19.350000000000001" customHeight="1">
      <c r="A1179" s="102" t="s">
        <v>380</v>
      </c>
      <c r="B1179" s="102"/>
      <c r="C1179" s="116"/>
      <c r="F1179" s="107"/>
      <c r="G1179" s="10"/>
      <c r="H1179" s="103"/>
      <c r="I1179" s="108">
        <f>Tableau3[[#This Row],[Stock final]]*Tableau3[[#This Row],[P.U.]]</f>
        <v>0</v>
      </c>
      <c r="J1179" s="184"/>
    </row>
    <row r="1180" spans="1:10" ht="19.350000000000001" customHeight="1">
      <c r="A1180" s="102" t="s">
        <v>380</v>
      </c>
      <c r="B1180" s="102"/>
      <c r="C1180" s="116"/>
      <c r="F1180" s="107"/>
      <c r="G1180" s="10"/>
      <c r="H1180" s="103"/>
      <c r="I1180" s="108">
        <f>Tableau3[[#This Row],[Stock final]]*Tableau3[[#This Row],[P.U.]]</f>
        <v>0</v>
      </c>
      <c r="J1180" s="184"/>
    </row>
    <row r="1181" spans="1:10" ht="19.350000000000001" customHeight="1">
      <c r="A1181" s="102" t="s">
        <v>380</v>
      </c>
      <c r="B1181" s="102"/>
      <c r="C1181" s="116"/>
      <c r="F1181" s="107"/>
      <c r="G1181" s="10"/>
      <c r="H1181" s="103"/>
      <c r="I1181" s="108">
        <f>Tableau3[[#This Row],[Stock final]]*Tableau3[[#This Row],[P.U.]]</f>
        <v>0</v>
      </c>
      <c r="J1181" s="184"/>
    </row>
    <row r="1182" spans="1:10" ht="19.350000000000001" customHeight="1">
      <c r="A1182" s="102" t="s">
        <v>380</v>
      </c>
      <c r="B1182" s="102"/>
      <c r="C1182" s="116"/>
      <c r="F1182" s="107"/>
      <c r="G1182" s="10"/>
      <c r="H1182" s="103"/>
      <c r="I1182" s="108">
        <f>Tableau3[[#This Row],[Stock final]]*Tableau3[[#This Row],[P.U.]]</f>
        <v>0</v>
      </c>
      <c r="J1182" s="184"/>
    </row>
    <row r="1183" spans="1:10" ht="19.350000000000001" customHeight="1">
      <c r="A1183" s="102" t="s">
        <v>380</v>
      </c>
      <c r="B1183" s="102"/>
      <c r="C1183" s="116"/>
      <c r="F1183" s="107"/>
      <c r="G1183" s="10"/>
      <c r="H1183" s="103"/>
      <c r="I1183" s="108">
        <f>Tableau3[[#This Row],[Stock final]]*Tableau3[[#This Row],[P.U.]]</f>
        <v>0</v>
      </c>
      <c r="J1183" s="184"/>
    </row>
    <row r="1184" spans="1:10" ht="19.350000000000001" customHeight="1">
      <c r="A1184" s="102" t="s">
        <v>380</v>
      </c>
      <c r="B1184" s="102"/>
      <c r="C1184" s="116"/>
      <c r="F1184" s="107"/>
      <c r="G1184" s="10"/>
      <c r="H1184" s="103"/>
      <c r="I1184" s="108">
        <f>Tableau3[[#This Row],[Stock final]]*Tableau3[[#This Row],[P.U.]]</f>
        <v>0</v>
      </c>
      <c r="J1184" s="184"/>
    </row>
    <row r="1185" spans="1:10" ht="19.350000000000001" customHeight="1">
      <c r="A1185" s="102" t="s">
        <v>380</v>
      </c>
      <c r="B1185" s="102"/>
      <c r="C1185" s="116"/>
      <c r="F1185" s="107"/>
      <c r="G1185" s="10"/>
      <c r="H1185" s="103"/>
      <c r="I1185" s="108">
        <f>Tableau3[[#This Row],[Stock final]]*Tableau3[[#This Row],[P.U.]]</f>
        <v>0</v>
      </c>
      <c r="J1185" s="184"/>
    </row>
    <row r="1186" spans="1:10" ht="19.350000000000001" customHeight="1">
      <c r="A1186" s="102" t="s">
        <v>380</v>
      </c>
      <c r="B1186" s="102" t="s">
        <v>410</v>
      </c>
      <c r="C1186" s="116" t="s">
        <v>1242</v>
      </c>
      <c r="D1186" s="11" t="s">
        <v>1243</v>
      </c>
      <c r="E1186" s="113" t="s">
        <v>14</v>
      </c>
      <c r="F1186" s="107"/>
      <c r="G1186" s="10">
        <v>4</v>
      </c>
      <c r="H1186" s="103">
        <v>27.47</v>
      </c>
      <c r="I1186" s="108">
        <f>Tableau3[[#This Row],[Stock final]]*Tableau3[[#This Row],[P.U.]]</f>
        <v>109.88</v>
      </c>
      <c r="J1186" s="184"/>
    </row>
    <row r="1187" spans="1:10" ht="19.350000000000001" customHeight="1">
      <c r="A1187" s="102" t="s">
        <v>409</v>
      </c>
      <c r="B1187" s="102" t="s">
        <v>410</v>
      </c>
      <c r="C1187" s="116" t="s">
        <v>411</v>
      </c>
      <c r="D1187" s="114" t="s">
        <v>412</v>
      </c>
      <c r="E1187" s="113" t="s">
        <v>413</v>
      </c>
      <c r="F1187" s="113"/>
      <c r="G1187" s="10">
        <v>8</v>
      </c>
      <c r="H1187" s="103">
        <v>8.98</v>
      </c>
      <c r="I1187" s="108">
        <f>Tableau3[[#This Row],[Stock final]]*Tableau3[[#This Row],[P.U.]]</f>
        <v>71.84</v>
      </c>
      <c r="J1187" s="184"/>
    </row>
    <row r="1188" spans="1:10" ht="19.350000000000001" customHeight="1">
      <c r="A1188" s="102" t="s">
        <v>409</v>
      </c>
      <c r="B1188" s="102" t="s">
        <v>410</v>
      </c>
      <c r="C1188" s="106" t="s">
        <v>414</v>
      </c>
      <c r="D1188" s="114" t="s">
        <v>415</v>
      </c>
      <c r="E1188" s="113" t="s">
        <v>14</v>
      </c>
      <c r="F1188" s="113"/>
      <c r="G1188" s="10">
        <v>2</v>
      </c>
      <c r="H1188" s="103">
        <v>6.99</v>
      </c>
      <c r="I1188" s="108">
        <f>Tableau3[[#This Row],[Stock final]]*Tableau3[[#This Row],[P.U.]]</f>
        <v>13.98</v>
      </c>
      <c r="J1188" s="184"/>
    </row>
    <row r="1189" spans="1:10" ht="19.350000000000001" customHeight="1">
      <c r="A1189" s="102" t="s">
        <v>409</v>
      </c>
      <c r="B1189" s="102" t="s">
        <v>410</v>
      </c>
      <c r="C1189" s="116" t="s">
        <v>416</v>
      </c>
      <c r="D1189" s="114" t="s">
        <v>417</v>
      </c>
      <c r="E1189" s="113" t="s">
        <v>413</v>
      </c>
      <c r="F1189" s="113"/>
      <c r="G1189" s="10"/>
      <c r="H1189" s="103">
        <v>6.32</v>
      </c>
      <c r="I1189" s="108">
        <f>Tableau3[[#This Row],[Stock final]]*Tableau3[[#This Row],[P.U.]]</f>
        <v>0</v>
      </c>
      <c r="J1189" s="184"/>
    </row>
    <row r="1190" spans="1:10" ht="19.350000000000001" customHeight="1">
      <c r="A1190" s="102" t="s">
        <v>409</v>
      </c>
      <c r="B1190" s="102" t="s">
        <v>418</v>
      </c>
      <c r="C1190" s="116" t="s">
        <v>419</v>
      </c>
      <c r="D1190" s="114" t="s">
        <v>420</v>
      </c>
      <c r="E1190" s="113" t="s">
        <v>14</v>
      </c>
      <c r="F1190" s="113"/>
      <c r="G1190" s="10">
        <v>1</v>
      </c>
      <c r="H1190" s="103">
        <v>7.37</v>
      </c>
      <c r="I1190" s="108">
        <f>Tableau3[[#This Row],[Stock final]]*Tableau3[[#This Row],[P.U.]]</f>
        <v>7.37</v>
      </c>
      <c r="J1190" s="184"/>
    </row>
    <row r="1191" spans="1:10" ht="19.350000000000001" customHeight="1">
      <c r="A1191" s="102" t="s">
        <v>409</v>
      </c>
      <c r="B1191" s="102" t="s">
        <v>410</v>
      </c>
      <c r="C1191" s="116" t="s">
        <v>421</v>
      </c>
      <c r="D1191" s="114" t="s">
        <v>422</v>
      </c>
      <c r="E1191" s="113" t="s">
        <v>14</v>
      </c>
      <c r="F1191" s="113"/>
      <c r="G1191" s="10">
        <v>1</v>
      </c>
      <c r="H1191" s="103">
        <v>17.690000000000001</v>
      </c>
      <c r="I1191" s="108">
        <f>Tableau3[[#This Row],[Stock final]]*Tableau3[[#This Row],[P.U.]]</f>
        <v>17.690000000000001</v>
      </c>
      <c r="J1191" s="184"/>
    </row>
    <row r="1192" spans="1:10" ht="19.350000000000001" customHeight="1">
      <c r="A1192" s="102" t="s">
        <v>409</v>
      </c>
      <c r="B1192" s="102" t="s">
        <v>410</v>
      </c>
      <c r="C1192" s="106" t="s">
        <v>423</v>
      </c>
      <c r="D1192" s="114" t="s">
        <v>424</v>
      </c>
      <c r="E1192" s="113" t="s">
        <v>413</v>
      </c>
      <c r="F1192" s="113"/>
      <c r="G1192" s="10"/>
      <c r="H1192" s="103">
        <v>3.72</v>
      </c>
      <c r="I1192" s="108">
        <f>Tableau3[[#This Row],[Stock final]]*Tableau3[[#This Row],[P.U.]]</f>
        <v>0</v>
      </c>
      <c r="J1192" s="184"/>
    </row>
    <row r="1193" spans="1:10" ht="19.350000000000001" customHeight="1">
      <c r="A1193" s="102" t="s">
        <v>409</v>
      </c>
      <c r="B1193" s="102" t="s">
        <v>410</v>
      </c>
      <c r="C1193" s="106" t="s">
        <v>425</v>
      </c>
      <c r="D1193" s="114" t="s">
        <v>426</v>
      </c>
      <c r="E1193" s="113" t="s">
        <v>14</v>
      </c>
      <c r="F1193" s="113"/>
      <c r="G1193" s="10"/>
      <c r="H1193" s="103">
        <v>7.34</v>
      </c>
      <c r="I1193" s="108">
        <f>Tableau3[[#This Row],[Stock final]]*Tableau3[[#This Row],[P.U.]]</f>
        <v>0</v>
      </c>
      <c r="J1193" s="184"/>
    </row>
    <row r="1194" spans="1:10" ht="19.350000000000001" customHeight="1">
      <c r="A1194" s="102" t="s">
        <v>409</v>
      </c>
      <c r="B1194" s="102" t="s">
        <v>410</v>
      </c>
      <c r="C1194" s="106" t="s">
        <v>427</v>
      </c>
      <c r="D1194" s="114" t="s">
        <v>428</v>
      </c>
      <c r="E1194" s="113" t="s">
        <v>413</v>
      </c>
      <c r="F1194" s="113"/>
      <c r="G1194" s="10"/>
      <c r="H1194" s="103">
        <v>13.2</v>
      </c>
      <c r="I1194" s="108">
        <f>Tableau3[[#This Row],[Stock final]]*Tableau3[[#This Row],[P.U.]]</f>
        <v>0</v>
      </c>
      <c r="J1194" s="184"/>
    </row>
    <row r="1195" spans="1:10" ht="19.350000000000001" customHeight="1">
      <c r="A1195" s="102" t="s">
        <v>409</v>
      </c>
      <c r="B1195" s="102" t="s">
        <v>410</v>
      </c>
      <c r="C1195" s="106" t="s">
        <v>429</v>
      </c>
      <c r="D1195" s="114" t="s">
        <v>430</v>
      </c>
      <c r="E1195" s="113" t="s">
        <v>14</v>
      </c>
      <c r="F1195" s="113"/>
      <c r="G1195" s="10">
        <v>5</v>
      </c>
      <c r="H1195" s="103">
        <v>2.21</v>
      </c>
      <c r="I1195" s="108">
        <f>Tableau3[[#This Row],[Stock final]]*Tableau3[[#This Row],[P.U.]]</f>
        <v>11.05</v>
      </c>
      <c r="J1195" s="184"/>
    </row>
    <row r="1196" spans="1:10" ht="19.350000000000001" customHeight="1">
      <c r="A1196" s="102" t="s">
        <v>409</v>
      </c>
      <c r="B1196" s="102" t="s">
        <v>410</v>
      </c>
      <c r="C1196" s="106" t="s">
        <v>431</v>
      </c>
      <c r="D1196" s="114" t="s">
        <v>432</v>
      </c>
      <c r="E1196" s="113" t="s">
        <v>413</v>
      </c>
      <c r="F1196" s="113"/>
      <c r="G1196" s="10"/>
      <c r="H1196" s="103">
        <v>9.4600000000000009</v>
      </c>
      <c r="I1196" s="108">
        <f>Tableau3[[#This Row],[Stock final]]*Tableau3[[#This Row],[P.U.]]</f>
        <v>0</v>
      </c>
      <c r="J1196" s="184"/>
    </row>
    <row r="1197" spans="1:10" ht="19.350000000000001" customHeight="1">
      <c r="A1197" s="102" t="s">
        <v>409</v>
      </c>
      <c r="B1197" s="102" t="s">
        <v>410</v>
      </c>
      <c r="C1197" s="106" t="s">
        <v>433</v>
      </c>
      <c r="D1197" s="114" t="s">
        <v>434</v>
      </c>
      <c r="E1197" s="113" t="s">
        <v>14</v>
      </c>
      <c r="F1197" s="113"/>
      <c r="G1197" s="10"/>
      <c r="H1197" s="103">
        <v>19.54</v>
      </c>
      <c r="I1197" s="108">
        <f>Tableau3[[#This Row],[Stock final]]*Tableau3[[#This Row],[P.U.]]</f>
        <v>0</v>
      </c>
      <c r="J1197" s="184"/>
    </row>
    <row r="1198" spans="1:10" ht="19.350000000000001" customHeight="1">
      <c r="A1198" s="102" t="s">
        <v>409</v>
      </c>
      <c r="B1198" s="102"/>
      <c r="C1198" s="116"/>
      <c r="F1198" s="107"/>
      <c r="G1198" s="10"/>
      <c r="H1198" s="103"/>
      <c r="I1198" s="108">
        <f>Tableau3[[#This Row],[Stock final]]*Tableau3[[#This Row],[P.U.]]</f>
        <v>0</v>
      </c>
      <c r="J1198" s="184"/>
    </row>
    <row r="1199" spans="1:10" ht="19.350000000000001" customHeight="1">
      <c r="A1199" s="102" t="s">
        <v>409</v>
      </c>
      <c r="B1199" s="105" t="s">
        <v>410</v>
      </c>
      <c r="C1199" s="116" t="s">
        <v>435</v>
      </c>
      <c r="D1199" s="114" t="s">
        <v>436</v>
      </c>
      <c r="E1199" s="113" t="s">
        <v>437</v>
      </c>
      <c r="F1199" s="107"/>
      <c r="G1199" s="10"/>
      <c r="H1199" s="103">
        <v>8.98</v>
      </c>
      <c r="I1199" s="108">
        <f>Tableau3[[#This Row],[Stock final]]*Tableau3[[#This Row],[P.U.]]</f>
        <v>0</v>
      </c>
      <c r="J1199" s="184"/>
    </row>
    <row r="1200" spans="1:10" ht="19.350000000000001" customHeight="1">
      <c r="A1200" s="102" t="s">
        <v>409</v>
      </c>
      <c r="B1200" s="174" t="s">
        <v>410</v>
      </c>
      <c r="C1200" s="106" t="s">
        <v>438</v>
      </c>
      <c r="D1200" s="114" t="s">
        <v>415</v>
      </c>
      <c r="E1200" s="113" t="s">
        <v>437</v>
      </c>
      <c r="F1200" s="107"/>
      <c r="G1200" s="10"/>
      <c r="H1200" s="103">
        <v>6.99</v>
      </c>
      <c r="I1200" s="108">
        <f>Tableau3[[#This Row],[Stock final]]*Tableau3[[#This Row],[P.U.]]</f>
        <v>0</v>
      </c>
      <c r="J1200" s="184"/>
    </row>
    <row r="1201" spans="1:10" ht="19.350000000000001" customHeight="1">
      <c r="A1201" s="102" t="s">
        <v>409</v>
      </c>
      <c r="B1201" s="105" t="s">
        <v>410</v>
      </c>
      <c r="C1201" s="116" t="s">
        <v>439</v>
      </c>
      <c r="D1201" s="114" t="s">
        <v>440</v>
      </c>
      <c r="E1201" s="113" t="s">
        <v>437</v>
      </c>
      <c r="F1201" s="107"/>
      <c r="G1201" s="10"/>
      <c r="H1201" s="103">
        <v>6.32</v>
      </c>
      <c r="I1201" s="108">
        <f>Tableau3[[#This Row],[Stock final]]*Tableau3[[#This Row],[P.U.]]</f>
        <v>0</v>
      </c>
      <c r="J1201" s="184"/>
    </row>
    <row r="1202" spans="1:10" ht="19.350000000000001" customHeight="1">
      <c r="A1202" s="102" t="s">
        <v>409</v>
      </c>
      <c r="B1202" s="102" t="s">
        <v>410</v>
      </c>
      <c r="C1202" s="116" t="s">
        <v>441</v>
      </c>
      <c r="D1202" s="114" t="s">
        <v>442</v>
      </c>
      <c r="E1202" s="113" t="s">
        <v>437</v>
      </c>
      <c r="F1202" s="107"/>
      <c r="G1202" s="10">
        <v>4</v>
      </c>
      <c r="H1202" s="103">
        <v>7.37</v>
      </c>
      <c r="I1202" s="108">
        <f>Tableau3[[#This Row],[Stock final]]*Tableau3[[#This Row],[P.U.]]</f>
        <v>29.48</v>
      </c>
      <c r="J1202" s="184"/>
    </row>
    <row r="1203" spans="1:10" ht="19.350000000000001" customHeight="1">
      <c r="A1203" s="102" t="s">
        <v>409</v>
      </c>
      <c r="B1203" s="102" t="s">
        <v>410</v>
      </c>
      <c r="C1203" s="138" t="s">
        <v>443</v>
      </c>
      <c r="D1203" s="114" t="s">
        <v>444</v>
      </c>
      <c r="E1203" s="113" t="s">
        <v>437</v>
      </c>
      <c r="F1203" s="107"/>
      <c r="G1203" s="10"/>
      <c r="H1203" s="103">
        <v>17.690000000000001</v>
      </c>
      <c r="I1203" s="108">
        <f>Tableau3[[#This Row],[Stock final]]*Tableau3[[#This Row],[P.U.]]</f>
        <v>0</v>
      </c>
      <c r="J1203" s="184"/>
    </row>
    <row r="1204" spans="1:10" ht="19.350000000000001" customHeight="1">
      <c r="A1204" s="102" t="s">
        <v>409</v>
      </c>
      <c r="B1204" s="102" t="s">
        <v>410</v>
      </c>
      <c r="C1204" s="116" t="s">
        <v>445</v>
      </c>
      <c r="D1204" s="114" t="s">
        <v>446</v>
      </c>
      <c r="E1204" s="113" t="s">
        <v>437</v>
      </c>
      <c r="F1204" s="107"/>
      <c r="G1204" s="10">
        <v>5</v>
      </c>
      <c r="H1204" s="103">
        <v>3.72</v>
      </c>
      <c r="I1204" s="108">
        <f>Tableau3[[#This Row],[Stock final]]*Tableau3[[#This Row],[P.U.]]</f>
        <v>18.600000000000001</v>
      </c>
      <c r="J1204" s="184"/>
    </row>
    <row r="1205" spans="1:10" ht="19.350000000000001" customHeight="1">
      <c r="A1205" s="102" t="s">
        <v>409</v>
      </c>
      <c r="B1205" s="102" t="s">
        <v>410</v>
      </c>
      <c r="C1205" s="116" t="s">
        <v>447</v>
      </c>
      <c r="D1205" s="114" t="s">
        <v>426</v>
      </c>
      <c r="E1205" s="113" t="s">
        <v>437</v>
      </c>
      <c r="F1205" s="107"/>
      <c r="G1205" s="10">
        <v>3</v>
      </c>
      <c r="H1205" s="103">
        <v>7.34</v>
      </c>
      <c r="I1205" s="108">
        <f>Tableau3[[#This Row],[Stock final]]*Tableau3[[#This Row],[P.U.]]</f>
        <v>22.02</v>
      </c>
      <c r="J1205" s="184"/>
    </row>
    <row r="1206" spans="1:10" ht="19.350000000000001" customHeight="1">
      <c r="A1206" s="102" t="s">
        <v>409</v>
      </c>
      <c r="B1206" s="102" t="s">
        <v>410</v>
      </c>
      <c r="C1206" s="116" t="s">
        <v>448</v>
      </c>
      <c r="D1206" s="114" t="s">
        <v>428</v>
      </c>
      <c r="E1206" s="113" t="s">
        <v>437</v>
      </c>
      <c r="F1206" s="107"/>
      <c r="G1206" s="10"/>
      <c r="H1206" s="103">
        <v>13.2</v>
      </c>
      <c r="I1206" s="108">
        <f>Tableau3[[#This Row],[Stock final]]*Tableau3[[#This Row],[P.U.]]</f>
        <v>0</v>
      </c>
      <c r="J1206" s="184"/>
    </row>
    <row r="1207" spans="1:10" ht="19.350000000000001" customHeight="1">
      <c r="A1207" s="102" t="s">
        <v>409</v>
      </c>
      <c r="B1207" s="102" t="s">
        <v>410</v>
      </c>
      <c r="C1207" s="116" t="s">
        <v>449</v>
      </c>
      <c r="D1207" s="114" t="s">
        <v>450</v>
      </c>
      <c r="E1207" s="113" t="s">
        <v>437</v>
      </c>
      <c r="F1207" s="107"/>
      <c r="G1207" s="10">
        <v>1</v>
      </c>
      <c r="H1207" s="103">
        <v>2.21</v>
      </c>
      <c r="I1207" s="108">
        <f>Tableau3[[#This Row],[Stock final]]*Tableau3[[#This Row],[P.U.]]</f>
        <v>2.21</v>
      </c>
      <c r="J1207" s="184"/>
    </row>
    <row r="1208" spans="1:10" ht="19.350000000000001" customHeight="1">
      <c r="A1208" s="102" t="s">
        <v>409</v>
      </c>
      <c r="B1208" s="102" t="s">
        <v>410</v>
      </c>
      <c r="C1208" s="116" t="s">
        <v>451</v>
      </c>
      <c r="D1208" s="114" t="s">
        <v>452</v>
      </c>
      <c r="E1208" s="113" t="s">
        <v>437</v>
      </c>
      <c r="F1208" s="107"/>
      <c r="G1208" s="10"/>
      <c r="H1208" s="103">
        <v>9.4600000000000009</v>
      </c>
      <c r="I1208" s="108">
        <f>Tableau3[[#This Row],[Stock final]]*Tableau3[[#This Row],[P.U.]]</f>
        <v>0</v>
      </c>
      <c r="J1208" s="184"/>
    </row>
    <row r="1209" spans="1:10" ht="19.350000000000001" customHeight="1">
      <c r="A1209" s="102" t="s">
        <v>409</v>
      </c>
      <c r="B1209" s="102" t="s">
        <v>410</v>
      </c>
      <c r="C1209" s="116" t="s">
        <v>453</v>
      </c>
      <c r="D1209" s="114" t="s">
        <v>434</v>
      </c>
      <c r="E1209" s="113" t="s">
        <v>437</v>
      </c>
      <c r="F1209" s="107"/>
      <c r="G1209" s="10"/>
      <c r="H1209" s="103">
        <v>19.54</v>
      </c>
      <c r="I1209" s="108">
        <f>Tableau3[[#This Row],[Stock final]]*Tableau3[[#This Row],[P.U.]]</f>
        <v>0</v>
      </c>
      <c r="J1209" s="184"/>
    </row>
    <row r="1210" spans="1:10" ht="19.350000000000001" customHeight="1">
      <c r="A1210" s="102" t="s">
        <v>409</v>
      </c>
      <c r="B1210" s="102" t="s">
        <v>410</v>
      </c>
      <c r="C1210" s="116" t="s">
        <v>454</v>
      </c>
      <c r="D1210" s="114" t="s">
        <v>455</v>
      </c>
      <c r="E1210" s="113" t="s">
        <v>437</v>
      </c>
      <c r="F1210" s="107"/>
      <c r="G1210" s="10">
        <v>3</v>
      </c>
      <c r="H1210" s="103">
        <v>45.79</v>
      </c>
      <c r="I1210" s="108">
        <f>Tableau3[[#This Row],[Stock final]]*Tableau3[[#This Row],[P.U.]]</f>
        <v>137.37</v>
      </c>
      <c r="J1210" s="184"/>
    </row>
    <row r="1211" spans="1:10" ht="19.350000000000001" customHeight="1">
      <c r="A1211" s="102" t="s">
        <v>409</v>
      </c>
      <c r="B1211" s="102"/>
      <c r="C1211" s="116"/>
      <c r="F1211" s="107"/>
      <c r="G1211" s="10"/>
      <c r="H1211" s="103"/>
      <c r="I1211" s="108">
        <f>Tableau3[[#This Row],[Stock final]]*Tableau3[[#This Row],[P.U.]]</f>
        <v>0</v>
      </c>
      <c r="J1211" s="184"/>
    </row>
    <row r="1212" spans="1:10" ht="19.350000000000001" customHeight="1">
      <c r="A1212" s="102" t="s">
        <v>456</v>
      </c>
      <c r="B1212" s="102" t="s">
        <v>410</v>
      </c>
      <c r="C1212" s="106" t="s">
        <v>457</v>
      </c>
      <c r="D1212" s="114" t="s">
        <v>458</v>
      </c>
      <c r="E1212" s="113" t="s">
        <v>341</v>
      </c>
      <c r="F1212" s="107"/>
      <c r="G1212" s="10">
        <v>1</v>
      </c>
      <c r="H1212" s="103">
        <v>9.51</v>
      </c>
      <c r="I1212" s="108">
        <f>Tableau3[[#This Row],[Stock final]]*Tableau3[[#This Row],[P.U.]]</f>
        <v>9.51</v>
      </c>
      <c r="J1212" s="184"/>
    </row>
    <row r="1213" spans="1:10" ht="19.350000000000001" customHeight="1">
      <c r="A1213" s="102" t="s">
        <v>456</v>
      </c>
      <c r="B1213" s="102" t="s">
        <v>410</v>
      </c>
      <c r="C1213" s="106" t="s">
        <v>459</v>
      </c>
      <c r="D1213" s="114" t="s">
        <v>415</v>
      </c>
      <c r="E1213" s="113" t="s">
        <v>341</v>
      </c>
      <c r="F1213" s="107"/>
      <c r="G1213" s="10">
        <v>8</v>
      </c>
      <c r="H1213" s="103">
        <v>7.41</v>
      </c>
      <c r="I1213" s="108">
        <f>Tableau3[[#This Row],[Stock final]]*Tableau3[[#This Row],[P.U.]]</f>
        <v>59.28</v>
      </c>
      <c r="J1213" s="184"/>
    </row>
    <row r="1214" spans="1:10" ht="19.350000000000001" customHeight="1">
      <c r="A1214" s="102" t="s">
        <v>456</v>
      </c>
      <c r="B1214" s="102" t="s">
        <v>460</v>
      </c>
      <c r="C1214" s="106" t="s">
        <v>461</v>
      </c>
      <c r="D1214" s="114" t="s">
        <v>462</v>
      </c>
      <c r="E1214" s="113" t="s">
        <v>341</v>
      </c>
      <c r="F1214" s="107"/>
      <c r="G1214" s="10"/>
      <c r="H1214" s="103">
        <v>6.7</v>
      </c>
      <c r="I1214" s="108">
        <f>Tableau3[[#This Row],[Stock final]]*Tableau3[[#This Row],[P.U.]]</f>
        <v>0</v>
      </c>
      <c r="J1214" s="184"/>
    </row>
    <row r="1215" spans="1:10" ht="19.350000000000001" customHeight="1">
      <c r="A1215" s="102" t="s">
        <v>456</v>
      </c>
      <c r="B1215" s="102" t="s">
        <v>410</v>
      </c>
      <c r="C1215" s="106" t="s">
        <v>463</v>
      </c>
      <c r="D1215" s="114" t="s">
        <v>420</v>
      </c>
      <c r="E1215" s="113" t="s">
        <v>331</v>
      </c>
      <c r="F1215" s="107"/>
      <c r="G1215" s="10">
        <v>1</v>
      </c>
      <c r="H1215" s="103">
        <v>7.81</v>
      </c>
      <c r="I1215" s="108">
        <f>Tableau3[[#This Row],[Stock final]]*Tableau3[[#This Row],[P.U.]]</f>
        <v>7.81</v>
      </c>
      <c r="J1215" s="184"/>
    </row>
    <row r="1216" spans="1:10" ht="19.350000000000001" customHeight="1">
      <c r="A1216" s="102" t="s">
        <v>456</v>
      </c>
      <c r="B1216" s="102" t="s">
        <v>410</v>
      </c>
      <c r="C1216" s="106" t="s">
        <v>464</v>
      </c>
      <c r="D1216" s="114" t="s">
        <v>465</v>
      </c>
      <c r="E1216" s="113" t="s">
        <v>341</v>
      </c>
      <c r="F1216" s="107"/>
      <c r="G1216" s="10"/>
      <c r="H1216" s="103">
        <v>18.760000000000002</v>
      </c>
      <c r="I1216" s="108">
        <f>Tableau3[[#This Row],[Stock final]]*Tableau3[[#This Row],[P.U.]]</f>
        <v>0</v>
      </c>
      <c r="J1216" s="184"/>
    </row>
    <row r="1217" spans="1:10" ht="19.350000000000001" customHeight="1">
      <c r="A1217" s="102" t="s">
        <v>456</v>
      </c>
      <c r="B1217" s="102" t="s">
        <v>410</v>
      </c>
      <c r="C1217" s="106" t="s">
        <v>466</v>
      </c>
      <c r="D1217" s="114" t="s">
        <v>424</v>
      </c>
      <c r="E1217" s="113" t="s">
        <v>341</v>
      </c>
      <c r="F1217" s="107"/>
      <c r="G1217" s="10">
        <v>5</v>
      </c>
      <c r="H1217" s="103">
        <v>3.94</v>
      </c>
      <c r="I1217" s="108">
        <f>Tableau3[[#This Row],[Stock final]]*Tableau3[[#This Row],[P.U.]]</f>
        <v>19.7</v>
      </c>
      <c r="J1217" s="184"/>
    </row>
    <row r="1218" spans="1:10" ht="19.350000000000001" customHeight="1">
      <c r="A1218" s="102" t="s">
        <v>456</v>
      </c>
      <c r="B1218" s="102" t="s">
        <v>410</v>
      </c>
      <c r="C1218" s="106" t="s">
        <v>467</v>
      </c>
      <c r="D1218" s="114" t="s">
        <v>426</v>
      </c>
      <c r="E1218" s="113" t="s">
        <v>341</v>
      </c>
      <c r="F1218" s="107"/>
      <c r="G1218" s="10"/>
      <c r="H1218" s="103">
        <v>7.77</v>
      </c>
      <c r="I1218" s="108">
        <f>Tableau3[[#This Row],[Stock final]]*Tableau3[[#This Row],[P.U.]]</f>
        <v>0</v>
      </c>
      <c r="J1218" s="184"/>
    </row>
    <row r="1219" spans="1:10" ht="19.350000000000001" customHeight="1">
      <c r="A1219" s="102" t="s">
        <v>456</v>
      </c>
      <c r="B1219" s="102" t="s">
        <v>410</v>
      </c>
      <c r="C1219" s="116" t="s">
        <v>468</v>
      </c>
      <c r="D1219" s="114" t="s">
        <v>428</v>
      </c>
      <c r="E1219" s="113" t="s">
        <v>341</v>
      </c>
      <c r="F1219" s="107"/>
      <c r="G1219" s="10"/>
      <c r="H1219" s="103">
        <v>13.99</v>
      </c>
      <c r="I1219" s="108">
        <f>Tableau3[[#This Row],[Stock final]]*Tableau3[[#This Row],[P.U.]]</f>
        <v>0</v>
      </c>
      <c r="J1219" s="184"/>
    </row>
    <row r="1220" spans="1:10" ht="19.350000000000001" customHeight="1">
      <c r="A1220" s="102" t="s">
        <v>456</v>
      </c>
      <c r="B1220" s="102" t="s">
        <v>410</v>
      </c>
      <c r="C1220" s="106" t="s">
        <v>469</v>
      </c>
      <c r="D1220" s="114" t="s">
        <v>430</v>
      </c>
      <c r="E1220" s="113" t="s">
        <v>341</v>
      </c>
      <c r="F1220" s="107"/>
      <c r="G1220" s="10"/>
      <c r="H1220" s="103">
        <v>2.34</v>
      </c>
      <c r="I1220" s="108">
        <f>Tableau3[[#This Row],[Stock final]]*Tableau3[[#This Row],[P.U.]]</f>
        <v>0</v>
      </c>
      <c r="J1220" s="184"/>
    </row>
    <row r="1221" spans="1:10" ht="19.350000000000001" customHeight="1">
      <c r="A1221" s="102" t="s">
        <v>456</v>
      </c>
      <c r="B1221" s="102" t="s">
        <v>410</v>
      </c>
      <c r="C1221" s="106" t="s">
        <v>470</v>
      </c>
      <c r="D1221" s="114" t="s">
        <v>452</v>
      </c>
      <c r="E1221" s="113" t="s">
        <v>341</v>
      </c>
      <c r="F1221" s="107"/>
      <c r="G1221" s="10">
        <v>2</v>
      </c>
      <c r="H1221" s="103">
        <v>10.029999999999999</v>
      </c>
      <c r="I1221" s="108">
        <f>Tableau3[[#This Row],[Stock final]]*Tableau3[[#This Row],[P.U.]]</f>
        <v>20.059999999999999</v>
      </c>
      <c r="J1221" s="184"/>
    </row>
    <row r="1222" spans="1:10" ht="19.350000000000001" customHeight="1">
      <c r="A1222" s="102" t="s">
        <v>456</v>
      </c>
      <c r="B1222" s="102" t="s">
        <v>410</v>
      </c>
      <c r="C1222" s="106" t="s">
        <v>471</v>
      </c>
      <c r="D1222" s="114" t="s">
        <v>434</v>
      </c>
      <c r="E1222" s="113" t="s">
        <v>341</v>
      </c>
      <c r="F1222" s="107"/>
      <c r="G1222" s="10"/>
      <c r="H1222" s="103">
        <v>20.72</v>
      </c>
      <c r="I1222" s="108">
        <f>Tableau3[[#This Row],[Stock final]]*Tableau3[[#This Row],[P.U.]]</f>
        <v>0</v>
      </c>
      <c r="J1222" s="184"/>
    </row>
    <row r="1223" spans="1:10" ht="19.350000000000001" customHeight="1">
      <c r="A1223" s="102" t="s">
        <v>456</v>
      </c>
      <c r="B1223" s="161"/>
      <c r="C1223" s="162"/>
      <c r="D1223" s="172"/>
      <c r="E1223" s="163"/>
      <c r="F1223" s="107"/>
      <c r="G1223" s="10"/>
      <c r="H1223" s="103"/>
      <c r="I1223" s="108">
        <f>Tableau3[[#This Row],[Stock final]]*Tableau3[[#This Row],[P.U.]]</f>
        <v>0</v>
      </c>
      <c r="J1223" s="184"/>
    </row>
    <row r="1224" spans="1:10" ht="19.350000000000001" customHeight="1">
      <c r="A1224" s="102" t="s">
        <v>456</v>
      </c>
      <c r="B1224" s="102" t="s">
        <v>473</v>
      </c>
      <c r="C1224" s="155">
        <v>91656</v>
      </c>
      <c r="D1224" s="171" t="s">
        <v>474</v>
      </c>
      <c r="E1224" s="128" t="s">
        <v>413</v>
      </c>
      <c r="F1224" s="107"/>
      <c r="G1224" s="10">
        <v>6</v>
      </c>
      <c r="H1224" s="103">
        <v>36.19</v>
      </c>
      <c r="I1224" s="108">
        <f>Tableau3[[#This Row],[Stock final]]*Tableau3[[#This Row],[P.U.]]</f>
        <v>217.14</v>
      </c>
      <c r="J1224" s="184"/>
    </row>
    <row r="1225" spans="1:10" ht="19.350000000000001" customHeight="1">
      <c r="A1225" s="102" t="s">
        <v>456</v>
      </c>
      <c r="B1225" s="161"/>
      <c r="C1225" s="162"/>
      <c r="D1225" s="172"/>
      <c r="E1225" s="163"/>
      <c r="F1225" s="107"/>
      <c r="G1225" s="10"/>
      <c r="H1225" s="103"/>
      <c r="I1225" s="108">
        <f>Tableau3[[#This Row],[Stock final]]*Tableau3[[#This Row],[P.U.]]</f>
        <v>0</v>
      </c>
      <c r="J1225" s="184"/>
    </row>
    <row r="1226" spans="1:10" ht="19.350000000000001" customHeight="1">
      <c r="A1226" s="102" t="s">
        <v>456</v>
      </c>
      <c r="B1226" s="102" t="s">
        <v>475</v>
      </c>
      <c r="C1226" s="158" t="s">
        <v>476</v>
      </c>
      <c r="D1226" s="173" t="s">
        <v>477</v>
      </c>
      <c r="E1226" s="159" t="s">
        <v>478</v>
      </c>
      <c r="F1226" s="107"/>
      <c r="G1226" s="10">
        <v>6</v>
      </c>
      <c r="H1226" s="103">
        <v>7.3</v>
      </c>
      <c r="I1226" s="108">
        <f>Tableau3[[#This Row],[Stock final]]*Tableau3[[#This Row],[P.U.]]</f>
        <v>43.8</v>
      </c>
      <c r="J1226" s="184"/>
    </row>
    <row r="1227" spans="1:10" ht="19.350000000000001" customHeight="1">
      <c r="A1227" s="102" t="s">
        <v>456</v>
      </c>
      <c r="B1227" s="161" t="s">
        <v>475</v>
      </c>
      <c r="C1227" s="162" t="s">
        <v>479</v>
      </c>
      <c r="D1227" s="172" t="s">
        <v>480</v>
      </c>
      <c r="E1227" s="163" t="s">
        <v>14</v>
      </c>
      <c r="F1227" s="107"/>
      <c r="G1227" s="10">
        <v>12</v>
      </c>
      <c r="H1227" s="103">
        <v>6.64</v>
      </c>
      <c r="I1227" s="108">
        <f>Tableau3[[#This Row],[Stock final]]*Tableau3[[#This Row],[P.U.]]</f>
        <v>79.679999999999993</v>
      </c>
      <c r="J1227" s="184"/>
    </row>
    <row r="1228" spans="1:10" ht="19.350000000000001" customHeight="1">
      <c r="A1228" s="102" t="s">
        <v>456</v>
      </c>
      <c r="B1228" s="102"/>
      <c r="C1228" s="155"/>
      <c r="D1228" s="171"/>
      <c r="E1228" s="128"/>
      <c r="F1228" s="107"/>
      <c r="G1228" s="10"/>
      <c r="H1228" s="103"/>
      <c r="I1228" s="108">
        <f>Tableau3[[#This Row],[Stock final]]*Tableau3[[#This Row],[P.U.]]</f>
        <v>0</v>
      </c>
      <c r="J1228" s="184"/>
    </row>
    <row r="1229" spans="1:10" ht="19.350000000000001" customHeight="1">
      <c r="A1229" s="102" t="s">
        <v>456</v>
      </c>
      <c r="B1229" s="161"/>
      <c r="C1229" s="162"/>
      <c r="D1229" s="172"/>
      <c r="E1229" s="163"/>
      <c r="F1229" s="107"/>
      <c r="G1229" s="10"/>
      <c r="H1229" s="103"/>
      <c r="I1229" s="108">
        <f>Tableau3[[#This Row],[Stock final]]*Tableau3[[#This Row],[P.U.]]</f>
        <v>0</v>
      </c>
      <c r="J1229" s="184"/>
    </row>
    <row r="1230" spans="1:10" ht="19.350000000000001" customHeight="1">
      <c r="A1230" s="102" t="s">
        <v>456</v>
      </c>
      <c r="B1230" s="102"/>
      <c r="C1230" s="155"/>
      <c r="D1230" s="171"/>
      <c r="E1230" s="128"/>
      <c r="F1230" s="107"/>
      <c r="G1230" s="10"/>
      <c r="H1230" s="103"/>
      <c r="I1230" s="108">
        <f>Tableau3[[#This Row],[Stock final]]*Tableau3[[#This Row],[P.U.]]</f>
        <v>0</v>
      </c>
      <c r="J1230" s="184"/>
    </row>
    <row r="1231" spans="1:10" ht="19.350000000000001" customHeight="1">
      <c r="A1231" s="102" t="s">
        <v>456</v>
      </c>
      <c r="B1231" s="161"/>
      <c r="C1231" s="162"/>
      <c r="D1231" s="172"/>
      <c r="E1231" s="163"/>
      <c r="F1231" s="107"/>
      <c r="G1231" s="10"/>
      <c r="H1231" s="103"/>
      <c r="I1231" s="108">
        <f>Tableau3[[#This Row],[Stock final]]*Tableau3[[#This Row],[P.U.]]</f>
        <v>0</v>
      </c>
      <c r="J1231" s="184"/>
    </row>
    <row r="1232" spans="1:10" ht="19.350000000000001" customHeight="1">
      <c r="A1232" s="102" t="s">
        <v>456</v>
      </c>
      <c r="B1232" s="102"/>
      <c r="C1232" s="155"/>
      <c r="D1232" s="171"/>
      <c r="E1232" s="128"/>
      <c r="F1232" s="107"/>
      <c r="G1232" s="10"/>
      <c r="H1232" s="103"/>
      <c r="I1232" s="108">
        <f>Tableau3[[#This Row],[Stock final]]*Tableau3[[#This Row],[P.U.]]</f>
        <v>0</v>
      </c>
      <c r="J1232" s="184"/>
    </row>
    <row r="1233" spans="1:10" ht="19.350000000000001" customHeight="1">
      <c r="A1233" s="102" t="s">
        <v>456</v>
      </c>
      <c r="B1233" s="161"/>
      <c r="C1233" s="162"/>
      <c r="D1233" s="172"/>
      <c r="E1233" s="163"/>
      <c r="F1233" s="107"/>
      <c r="G1233" s="10"/>
      <c r="H1233" s="103"/>
      <c r="I1233" s="108">
        <f>Tableau3[[#This Row],[Stock final]]*Tableau3[[#This Row],[P.U.]]</f>
        <v>0</v>
      </c>
      <c r="J1233" s="184"/>
    </row>
    <row r="1234" spans="1:10" ht="19.350000000000001" customHeight="1">
      <c r="A1234" s="102" t="s">
        <v>456</v>
      </c>
      <c r="B1234" s="102"/>
      <c r="C1234" s="155"/>
      <c r="D1234" s="171"/>
      <c r="E1234" s="128"/>
      <c r="F1234" s="107"/>
      <c r="G1234" s="10"/>
      <c r="H1234" s="103"/>
      <c r="I1234" s="108">
        <f>Tableau3[[#This Row],[Stock final]]*Tableau3[[#This Row],[P.U.]]</f>
        <v>0</v>
      </c>
      <c r="J1234" s="184"/>
    </row>
    <row r="1235" spans="1:10" ht="19.350000000000001" customHeight="1">
      <c r="A1235" s="102" t="s">
        <v>456</v>
      </c>
      <c r="B1235" s="161"/>
      <c r="C1235" s="162"/>
      <c r="D1235" s="172"/>
      <c r="E1235" s="163"/>
      <c r="F1235" s="107"/>
      <c r="G1235" s="10"/>
      <c r="H1235" s="103"/>
      <c r="I1235" s="108">
        <f>Tableau3[[#This Row],[Stock final]]*Tableau3[[#This Row],[P.U.]]</f>
        <v>0</v>
      </c>
      <c r="J1235" s="184"/>
    </row>
    <row r="1236" spans="1:10" ht="19.350000000000001" customHeight="1">
      <c r="A1236" s="102" t="s">
        <v>456</v>
      </c>
      <c r="B1236" s="102"/>
      <c r="C1236" s="155"/>
      <c r="D1236" s="171"/>
      <c r="E1236" s="128"/>
      <c r="F1236" s="107"/>
      <c r="G1236" s="10"/>
      <c r="H1236" s="103"/>
      <c r="I1236" s="108">
        <f>Tableau3[[#This Row],[Stock final]]*Tableau3[[#This Row],[P.U.]]</f>
        <v>0</v>
      </c>
      <c r="J1236" s="184"/>
    </row>
    <row r="1237" spans="1:10" ht="19.350000000000001" customHeight="1">
      <c r="A1237" s="102" t="s">
        <v>456</v>
      </c>
      <c r="B1237" s="161"/>
      <c r="C1237" s="162"/>
      <c r="D1237" s="172"/>
      <c r="E1237" s="163"/>
      <c r="F1237" s="107"/>
      <c r="G1237" s="10"/>
      <c r="H1237" s="103"/>
      <c r="I1237" s="108">
        <f>Tableau3[[#This Row],[Stock final]]*Tableau3[[#This Row],[P.U.]]</f>
        <v>0</v>
      </c>
      <c r="J1237" s="184"/>
    </row>
    <row r="1238" spans="1:10" ht="19.350000000000001" customHeight="1">
      <c r="A1238" s="102" t="s">
        <v>472</v>
      </c>
      <c r="B1238" s="102" t="s">
        <v>481</v>
      </c>
      <c r="C1238" s="117">
        <v>80251</v>
      </c>
      <c r="D1238" s="114" t="s">
        <v>482</v>
      </c>
      <c r="E1238" s="128"/>
      <c r="F1238" s="107"/>
      <c r="G1238" s="10">
        <v>12</v>
      </c>
      <c r="H1238" s="103">
        <v>1.67</v>
      </c>
      <c r="I1238" s="108">
        <f>Tableau3[[#This Row],[Stock final]]*Tableau3[[#This Row],[P.U.]]</f>
        <v>20.04</v>
      </c>
      <c r="J1238" s="184"/>
    </row>
    <row r="1239" spans="1:10" ht="19.350000000000001" customHeight="1">
      <c r="A1239" s="102" t="s">
        <v>472</v>
      </c>
      <c r="B1239" s="102" t="s">
        <v>481</v>
      </c>
      <c r="C1239" s="117">
        <v>80252</v>
      </c>
      <c r="D1239" s="114" t="s">
        <v>483</v>
      </c>
      <c r="E1239" s="163"/>
      <c r="F1239" s="107"/>
      <c r="G1239" s="10"/>
      <c r="H1239" s="103">
        <v>3.89</v>
      </c>
      <c r="I1239" s="108">
        <f>Tableau3[[#This Row],[Stock final]]*Tableau3[[#This Row],[P.U.]]</f>
        <v>0</v>
      </c>
      <c r="J1239" s="184"/>
    </row>
    <row r="1240" spans="1:10" ht="19.350000000000001" customHeight="1">
      <c r="A1240" s="102" t="s">
        <v>472</v>
      </c>
      <c r="B1240" s="102" t="s">
        <v>481</v>
      </c>
      <c r="C1240" s="117">
        <v>80253</v>
      </c>
      <c r="D1240" s="114" t="s">
        <v>484</v>
      </c>
      <c r="E1240" s="128"/>
      <c r="F1240" s="107"/>
      <c r="G1240" s="10"/>
      <c r="H1240" s="103">
        <v>8.25</v>
      </c>
      <c r="I1240" s="108">
        <f>Tableau3[[#This Row],[Stock final]]*Tableau3[[#This Row],[P.U.]]</f>
        <v>0</v>
      </c>
      <c r="J1240" s="184"/>
    </row>
    <row r="1241" spans="1:10" ht="19.350000000000001" customHeight="1">
      <c r="A1241" s="102" t="s">
        <v>472</v>
      </c>
      <c r="B1241" s="102" t="s">
        <v>481</v>
      </c>
      <c r="C1241" s="117">
        <v>80254</v>
      </c>
      <c r="D1241" s="114" t="s">
        <v>485</v>
      </c>
      <c r="E1241" s="163"/>
      <c r="F1241" s="107"/>
      <c r="G1241" s="10">
        <v>6</v>
      </c>
      <c r="H1241" s="103">
        <v>10.5</v>
      </c>
      <c r="I1241" s="108">
        <f>Tableau3[[#This Row],[Stock final]]*Tableau3[[#This Row],[P.U.]]</f>
        <v>63</v>
      </c>
      <c r="J1241" s="184"/>
    </row>
    <row r="1242" spans="1:10" ht="19.350000000000001" customHeight="1">
      <c r="A1242" s="102" t="s">
        <v>472</v>
      </c>
      <c r="B1242" s="102" t="s">
        <v>481</v>
      </c>
      <c r="C1242" s="117">
        <v>80261</v>
      </c>
      <c r="D1242" s="114" t="s">
        <v>486</v>
      </c>
      <c r="E1242" s="129"/>
      <c r="F1242" s="107"/>
      <c r="G1242" s="10">
        <v>40</v>
      </c>
      <c r="H1242" s="103">
        <v>3.52</v>
      </c>
      <c r="I1242" s="108">
        <f>Tableau3[[#This Row],[Stock final]]*Tableau3[[#This Row],[P.U.]]</f>
        <v>140.80000000000001</v>
      </c>
      <c r="J1242" s="184"/>
    </row>
    <row r="1243" spans="1:10" ht="19.350000000000001" customHeight="1">
      <c r="A1243" s="102" t="s">
        <v>472</v>
      </c>
      <c r="B1243" s="102" t="s">
        <v>481</v>
      </c>
      <c r="C1243" s="117">
        <v>80269</v>
      </c>
      <c r="D1243" s="114" t="s">
        <v>487</v>
      </c>
      <c r="E1243" s="164"/>
      <c r="F1243" s="107"/>
      <c r="G1243" s="10">
        <v>20</v>
      </c>
      <c r="H1243" s="103">
        <v>4.09</v>
      </c>
      <c r="I1243" s="108">
        <f>Tableau3[[#This Row],[Stock final]]*Tableau3[[#This Row],[P.U.]]</f>
        <v>81.8</v>
      </c>
      <c r="J1243" s="184"/>
    </row>
    <row r="1244" spans="1:10" ht="19.350000000000001" customHeight="1">
      <c r="A1244" s="102" t="s">
        <v>472</v>
      </c>
      <c r="B1244" s="102" t="s">
        <v>481</v>
      </c>
      <c r="C1244" s="117">
        <v>80199</v>
      </c>
      <c r="D1244" s="114" t="s">
        <v>488</v>
      </c>
      <c r="F1244" s="107"/>
      <c r="G1244" s="10">
        <v>30</v>
      </c>
      <c r="H1244" s="103">
        <v>0.97</v>
      </c>
      <c r="I1244" s="108">
        <f>Tableau3[[#This Row],[Stock final]]*Tableau3[[#This Row],[P.U.]]</f>
        <v>29.099999999999998</v>
      </c>
      <c r="J1244" s="184"/>
    </row>
    <row r="1245" spans="1:10" ht="19.350000000000001" customHeight="1">
      <c r="A1245" s="102" t="s">
        <v>472</v>
      </c>
      <c r="B1245" s="102" t="s">
        <v>481</v>
      </c>
      <c r="C1245" s="116"/>
      <c r="F1245" s="107"/>
      <c r="G1245" s="10"/>
      <c r="H1245" s="103"/>
      <c r="I1245" s="108">
        <f>Tableau3[[#This Row],[Stock final]]*Tableau3[[#This Row],[P.U.]]</f>
        <v>0</v>
      </c>
      <c r="J1245" s="184"/>
    </row>
    <row r="1246" spans="1:10" ht="19.350000000000001" customHeight="1">
      <c r="A1246" s="102" t="s">
        <v>472</v>
      </c>
      <c r="B1246" s="102" t="s">
        <v>481</v>
      </c>
      <c r="C1246" s="116"/>
      <c r="F1246" s="107"/>
      <c r="G1246" s="10"/>
      <c r="H1246" s="103"/>
      <c r="I1246" s="108">
        <f>Tableau3[[#This Row],[Stock final]]*Tableau3[[#This Row],[P.U.]]</f>
        <v>0</v>
      </c>
      <c r="J1246" s="184"/>
    </row>
    <row r="1247" spans="1:10" ht="19.350000000000001" customHeight="1">
      <c r="A1247" s="102" t="s">
        <v>472</v>
      </c>
      <c r="B1247" s="102" t="s">
        <v>481</v>
      </c>
      <c r="C1247" s="116"/>
      <c r="F1247" s="107"/>
      <c r="G1247" s="10"/>
      <c r="H1247" s="103"/>
      <c r="I1247" s="108">
        <f>Tableau3[[#This Row],[Stock final]]*Tableau3[[#This Row],[P.U.]]</f>
        <v>0</v>
      </c>
      <c r="J1247" s="184"/>
    </row>
    <row r="1248" spans="1:10" ht="19.350000000000001" customHeight="1">
      <c r="A1248" s="102" t="s">
        <v>472</v>
      </c>
      <c r="B1248" s="102" t="s">
        <v>481</v>
      </c>
      <c r="C1248" s="116"/>
      <c r="F1248" s="107"/>
      <c r="G1248" s="10"/>
      <c r="H1248" s="103"/>
      <c r="I1248" s="108">
        <f>Tableau3[[#This Row],[Stock final]]*Tableau3[[#This Row],[P.U.]]</f>
        <v>0</v>
      </c>
      <c r="J1248" s="184"/>
    </row>
    <row r="1249" spans="1:10" ht="19.350000000000001" customHeight="1">
      <c r="A1249" s="102" t="s">
        <v>472</v>
      </c>
      <c r="B1249" s="102" t="s">
        <v>481</v>
      </c>
      <c r="C1249" s="116"/>
      <c r="F1249" s="107"/>
      <c r="G1249" s="10"/>
      <c r="H1249" s="103"/>
      <c r="I1249" s="108">
        <f>Tableau3[[#This Row],[Stock final]]*Tableau3[[#This Row],[P.U.]]</f>
        <v>0</v>
      </c>
      <c r="J1249" s="184"/>
    </row>
    <row r="1250" spans="1:10" ht="19.350000000000001" customHeight="1">
      <c r="A1250" s="102" t="s">
        <v>472</v>
      </c>
      <c r="B1250" s="102" t="s">
        <v>481</v>
      </c>
      <c r="C1250" s="116"/>
      <c r="F1250" s="107"/>
      <c r="G1250" s="10"/>
      <c r="H1250" s="103"/>
      <c r="I1250" s="108">
        <f>Tableau3[[#This Row],[Stock final]]*Tableau3[[#This Row],[P.U.]]</f>
        <v>0</v>
      </c>
      <c r="J1250" s="184"/>
    </row>
    <row r="1251" spans="1:10" ht="19.350000000000001" customHeight="1">
      <c r="A1251" s="102" t="s">
        <v>472</v>
      </c>
      <c r="B1251" s="102" t="s">
        <v>481</v>
      </c>
      <c r="C1251" s="116"/>
      <c r="F1251" s="107"/>
      <c r="G1251" s="10"/>
      <c r="H1251" s="103"/>
      <c r="I1251" s="108">
        <f>Tableau3[[#This Row],[Stock final]]*Tableau3[[#This Row],[P.U.]]</f>
        <v>0</v>
      </c>
      <c r="J1251" s="184"/>
    </row>
    <row r="1252" spans="1:10" ht="19.350000000000001" customHeight="1">
      <c r="A1252" s="102" t="s">
        <v>472</v>
      </c>
      <c r="B1252" s="102" t="s">
        <v>481</v>
      </c>
      <c r="C1252" s="116"/>
      <c r="F1252" s="107"/>
      <c r="G1252" s="10"/>
      <c r="H1252" s="103"/>
      <c r="I1252" s="108">
        <f>Tableau3[[#This Row],[Stock final]]*Tableau3[[#This Row],[P.U.]]</f>
        <v>0</v>
      </c>
      <c r="J1252" s="184"/>
    </row>
    <row r="1253" spans="1:10" ht="19.350000000000001" customHeight="1">
      <c r="A1253" s="102" t="s">
        <v>472</v>
      </c>
      <c r="B1253" s="102" t="s">
        <v>481</v>
      </c>
      <c r="C1253" s="116"/>
      <c r="F1253" s="107"/>
      <c r="G1253" s="10"/>
      <c r="H1253" s="103"/>
      <c r="I1253" s="108">
        <f>Tableau3[[#This Row],[Stock final]]*Tableau3[[#This Row],[P.U.]]</f>
        <v>0</v>
      </c>
      <c r="J1253" s="184"/>
    </row>
    <row r="1254" spans="1:10" ht="19.350000000000001" customHeight="1">
      <c r="A1254" s="102" t="s">
        <v>472</v>
      </c>
      <c r="B1254" s="102" t="s">
        <v>481</v>
      </c>
      <c r="C1254" s="116"/>
      <c r="F1254" s="107"/>
      <c r="G1254" s="10"/>
      <c r="H1254" s="103"/>
      <c r="I1254" s="108">
        <f>Tableau3[[#This Row],[Stock final]]*Tableau3[[#This Row],[P.U.]]</f>
        <v>0</v>
      </c>
      <c r="J1254" s="184"/>
    </row>
    <row r="1255" spans="1:10" ht="19.350000000000001" customHeight="1">
      <c r="A1255" s="102" t="s">
        <v>472</v>
      </c>
      <c r="B1255" s="102" t="s">
        <v>481</v>
      </c>
      <c r="C1255" s="116"/>
      <c r="F1255" s="107"/>
      <c r="G1255" s="10"/>
      <c r="H1255" s="103"/>
      <c r="I1255" s="108">
        <f>Tableau3[[#This Row],[Stock final]]*Tableau3[[#This Row],[P.U.]]</f>
        <v>0</v>
      </c>
      <c r="J1255" s="184"/>
    </row>
    <row r="1256" spans="1:10" ht="19.350000000000001" customHeight="1">
      <c r="A1256" s="102" t="s">
        <v>472</v>
      </c>
      <c r="B1256" s="102" t="s">
        <v>481</v>
      </c>
      <c r="C1256" s="116"/>
      <c r="F1256" s="107"/>
      <c r="G1256" s="10"/>
      <c r="H1256" s="103"/>
      <c r="I1256" s="108">
        <f>Tableau3[[#This Row],[Stock final]]*Tableau3[[#This Row],[P.U.]]</f>
        <v>0</v>
      </c>
      <c r="J1256" s="184"/>
    </row>
    <row r="1257" spans="1:10" ht="19.350000000000001" customHeight="1">
      <c r="A1257" s="102" t="s">
        <v>472</v>
      </c>
      <c r="B1257" s="102" t="s">
        <v>481</v>
      </c>
      <c r="C1257" s="116"/>
      <c r="F1257" s="107"/>
      <c r="G1257" s="10"/>
      <c r="H1257" s="103"/>
      <c r="I1257" s="108">
        <f>Tableau3[[#This Row],[Stock final]]*Tableau3[[#This Row],[P.U.]]</f>
        <v>0</v>
      </c>
      <c r="J1257" s="184"/>
    </row>
    <row r="1258" spans="1:10" ht="19.350000000000001" customHeight="1">
      <c r="A1258" s="102" t="s">
        <v>472</v>
      </c>
      <c r="B1258" s="102" t="s">
        <v>481</v>
      </c>
      <c r="C1258" s="116"/>
      <c r="F1258" s="107"/>
      <c r="G1258" s="10"/>
      <c r="H1258" s="103"/>
      <c r="I1258" s="108">
        <f>Tableau3[[#This Row],[Stock final]]*Tableau3[[#This Row],[P.U.]]</f>
        <v>0</v>
      </c>
      <c r="J1258" s="184"/>
    </row>
    <row r="1259" spans="1:10" ht="19.350000000000001" customHeight="1">
      <c r="A1259" s="102" t="s">
        <v>472</v>
      </c>
      <c r="B1259" s="102" t="s">
        <v>481</v>
      </c>
      <c r="C1259" s="116"/>
      <c r="F1259" s="107"/>
      <c r="G1259" s="10"/>
      <c r="H1259" s="103"/>
      <c r="I1259" s="108">
        <f>Tableau3[[#This Row],[Stock final]]*Tableau3[[#This Row],[P.U.]]</f>
        <v>0</v>
      </c>
      <c r="J1259" s="184"/>
    </row>
    <row r="1260" spans="1:10" ht="19.350000000000001" customHeight="1">
      <c r="A1260" s="102" t="s">
        <v>472</v>
      </c>
      <c r="B1260" s="102" t="s">
        <v>481</v>
      </c>
      <c r="C1260" s="116"/>
      <c r="F1260" s="107"/>
      <c r="G1260" s="10"/>
      <c r="H1260" s="103"/>
      <c r="I1260" s="108">
        <f>Tableau3[[#This Row],[Stock final]]*Tableau3[[#This Row],[P.U.]]</f>
        <v>0</v>
      </c>
      <c r="J1260" s="184"/>
    </row>
    <row r="1261" spans="1:10" ht="19.350000000000001" customHeight="1">
      <c r="A1261" s="102" t="s">
        <v>472</v>
      </c>
      <c r="B1261" s="102" t="s">
        <v>481</v>
      </c>
      <c r="C1261" s="116"/>
      <c r="F1261" s="107"/>
      <c r="G1261" s="10"/>
      <c r="H1261" s="103"/>
      <c r="I1261" s="108">
        <f>Tableau3[[#This Row],[Stock final]]*Tableau3[[#This Row],[P.U.]]</f>
        <v>0</v>
      </c>
      <c r="J1261" s="184"/>
    </row>
    <row r="1262" spans="1:10" ht="19.350000000000001" customHeight="1">
      <c r="A1262" s="102" t="s">
        <v>472</v>
      </c>
      <c r="B1262" s="102" t="s">
        <v>481</v>
      </c>
      <c r="C1262" s="116"/>
      <c r="F1262" s="107"/>
      <c r="G1262" s="10"/>
      <c r="H1262" s="103"/>
      <c r="I1262" s="108">
        <f>Tableau3[[#This Row],[Stock final]]*Tableau3[[#This Row],[P.U.]]</f>
        <v>0</v>
      </c>
      <c r="J1262" s="184"/>
    </row>
    <row r="1263" spans="1:10" ht="19.350000000000001" customHeight="1">
      <c r="A1263" s="102" t="s">
        <v>472</v>
      </c>
      <c r="B1263" s="102" t="s">
        <v>481</v>
      </c>
      <c r="C1263" s="116"/>
      <c r="F1263" s="107"/>
      <c r="G1263" s="10"/>
      <c r="H1263" s="103"/>
      <c r="I1263" s="108">
        <f>Tableau3[[#This Row],[Stock final]]*Tableau3[[#This Row],[P.U.]]</f>
        <v>0</v>
      </c>
      <c r="J1263" s="184"/>
    </row>
    <row r="1264" spans="1:10" ht="19.350000000000001" customHeight="1">
      <c r="A1264" s="102" t="s">
        <v>489</v>
      </c>
      <c r="B1264" s="102" t="s">
        <v>490</v>
      </c>
      <c r="C1264" s="116" t="s">
        <v>491</v>
      </c>
      <c r="D1264" s="11" t="s">
        <v>343</v>
      </c>
      <c r="E1264" s="113" t="s">
        <v>331</v>
      </c>
      <c r="F1264" s="107"/>
      <c r="G1264" s="10">
        <v>13</v>
      </c>
      <c r="H1264" s="103">
        <v>1.88</v>
      </c>
      <c r="I1264" s="108">
        <f>Tableau3[[#This Row],[Stock final]]*Tableau3[[#This Row],[P.U.]]</f>
        <v>24.439999999999998</v>
      </c>
      <c r="J1264" s="184"/>
    </row>
    <row r="1265" spans="1:10" ht="19.350000000000001" customHeight="1">
      <c r="A1265" s="102" t="s">
        <v>489</v>
      </c>
      <c r="B1265" s="102" t="s">
        <v>490</v>
      </c>
      <c r="C1265" s="116" t="s">
        <v>492</v>
      </c>
      <c r="D1265" s="11" t="s">
        <v>497</v>
      </c>
      <c r="E1265" s="113" t="s">
        <v>341</v>
      </c>
      <c r="F1265" s="107"/>
      <c r="G1265" s="10">
        <v>12</v>
      </c>
      <c r="H1265" s="103">
        <v>4.49</v>
      </c>
      <c r="I1265" s="108">
        <f>Tableau3[[#This Row],[Stock final]]*Tableau3[[#This Row],[P.U.]]</f>
        <v>53.88</v>
      </c>
      <c r="J1265" s="184"/>
    </row>
    <row r="1266" spans="1:10" ht="19.350000000000001" customHeight="1">
      <c r="A1266" s="102" t="s">
        <v>489</v>
      </c>
      <c r="B1266" s="102" t="s">
        <v>490</v>
      </c>
      <c r="C1266" s="116" t="s">
        <v>493</v>
      </c>
      <c r="D1266" s="11" t="s">
        <v>494</v>
      </c>
      <c r="E1266" s="113" t="s">
        <v>331</v>
      </c>
      <c r="F1266" s="107"/>
      <c r="G1266" s="10">
        <v>2</v>
      </c>
      <c r="H1266" s="103">
        <v>4.49</v>
      </c>
      <c r="I1266" s="108">
        <f>Tableau3[[#This Row],[Stock final]]*Tableau3[[#This Row],[P.U.]]</f>
        <v>8.98</v>
      </c>
      <c r="J1266" s="184"/>
    </row>
    <row r="1267" spans="1:10" ht="19.350000000000001" customHeight="1">
      <c r="A1267" s="102" t="s">
        <v>489</v>
      </c>
      <c r="B1267" s="102" t="s">
        <v>490</v>
      </c>
      <c r="C1267" s="116" t="s">
        <v>500</v>
      </c>
      <c r="D1267" s="11" t="s">
        <v>501</v>
      </c>
      <c r="E1267" s="113" t="s">
        <v>331</v>
      </c>
      <c r="F1267" s="107"/>
      <c r="G1267" s="10"/>
      <c r="H1267" s="103">
        <v>7.7</v>
      </c>
      <c r="I1267" s="108">
        <f>Tableau3[[#This Row],[Stock final]]*Tableau3[[#This Row],[P.U.]]</f>
        <v>0</v>
      </c>
      <c r="J1267" s="184"/>
    </row>
    <row r="1268" spans="1:10" ht="19.350000000000001" customHeight="1">
      <c r="A1268" s="102" t="s">
        <v>489</v>
      </c>
      <c r="B1268" s="102" t="s">
        <v>490</v>
      </c>
      <c r="C1268" s="116" t="s">
        <v>495</v>
      </c>
      <c r="D1268" s="11" t="s">
        <v>496</v>
      </c>
      <c r="E1268" s="113" t="s">
        <v>331</v>
      </c>
      <c r="F1268" s="107"/>
      <c r="G1268" s="10"/>
      <c r="H1268" s="103">
        <v>7.73</v>
      </c>
      <c r="I1268" s="108">
        <f>Tableau3[[#This Row],[Stock final]]*Tableau3[[#This Row],[P.U.]]</f>
        <v>0</v>
      </c>
      <c r="J1268" s="184"/>
    </row>
    <row r="1269" spans="1:10" ht="19.350000000000001" customHeight="1">
      <c r="A1269" s="102" t="s">
        <v>489</v>
      </c>
      <c r="B1269" s="102" t="s">
        <v>490</v>
      </c>
      <c r="C1269" s="116" t="s">
        <v>498</v>
      </c>
      <c r="D1269" s="11" t="s">
        <v>499</v>
      </c>
      <c r="E1269" s="113" t="s">
        <v>331</v>
      </c>
      <c r="F1269" s="107"/>
      <c r="G1269" s="10"/>
      <c r="H1269" s="103">
        <v>7.73</v>
      </c>
      <c r="I1269" s="108">
        <f>Tableau3[[#This Row],[Stock final]]*Tableau3[[#This Row],[P.U.]]</f>
        <v>0</v>
      </c>
      <c r="J1269" s="184"/>
    </row>
    <row r="1270" spans="1:10" ht="19.350000000000001" customHeight="1">
      <c r="A1270" s="102" t="s">
        <v>489</v>
      </c>
      <c r="B1270" s="102" t="s">
        <v>490</v>
      </c>
      <c r="C1270" s="116" t="s">
        <v>502</v>
      </c>
      <c r="D1270" s="11" t="s">
        <v>408</v>
      </c>
      <c r="E1270" s="113" t="s">
        <v>341</v>
      </c>
      <c r="F1270" s="107"/>
      <c r="G1270" s="10"/>
      <c r="H1270" s="103">
        <v>13.48</v>
      </c>
      <c r="I1270" s="108">
        <f>Tableau3[[#This Row],[Stock final]]*Tableau3[[#This Row],[P.U.]]</f>
        <v>0</v>
      </c>
      <c r="J1270" s="184"/>
    </row>
    <row r="1271" spans="1:10" ht="19.350000000000001" customHeight="1">
      <c r="A1271" s="102" t="s">
        <v>489</v>
      </c>
      <c r="B1271" s="102" t="s">
        <v>490</v>
      </c>
      <c r="C1271" s="116">
        <v>80280</v>
      </c>
      <c r="D1271" s="11" t="s">
        <v>503</v>
      </c>
      <c r="E1271" s="113" t="s">
        <v>331</v>
      </c>
      <c r="F1271" s="107"/>
      <c r="G1271" s="10">
        <v>3</v>
      </c>
      <c r="H1271" s="103">
        <v>3.43</v>
      </c>
      <c r="I1271" s="108">
        <f>Tableau3[[#This Row],[Stock final]]*Tableau3[[#This Row],[P.U.]]</f>
        <v>10.290000000000001</v>
      </c>
      <c r="J1271" s="184"/>
    </row>
    <row r="1272" spans="1:10" ht="19.350000000000001" customHeight="1">
      <c r="A1272" s="102" t="s">
        <v>489</v>
      </c>
      <c r="B1272" s="102" t="s">
        <v>490</v>
      </c>
      <c r="C1272" s="116">
        <v>80281</v>
      </c>
      <c r="D1272" s="11" t="s">
        <v>504</v>
      </c>
      <c r="E1272" s="113" t="s">
        <v>341</v>
      </c>
      <c r="F1272" s="107"/>
      <c r="G1272" s="10"/>
      <c r="H1272" s="103">
        <v>3.57</v>
      </c>
      <c r="I1272" s="108">
        <f>Tableau3[[#This Row],[Stock final]]*Tableau3[[#This Row],[P.U.]]</f>
        <v>0</v>
      </c>
      <c r="J1272" s="184"/>
    </row>
    <row r="1273" spans="1:10" ht="19.350000000000001" customHeight="1">
      <c r="A1273" s="102" t="s">
        <v>489</v>
      </c>
      <c r="B1273" s="102" t="s">
        <v>490</v>
      </c>
      <c r="C1273" s="116">
        <v>80282</v>
      </c>
      <c r="D1273" s="11" t="s">
        <v>505</v>
      </c>
      <c r="E1273" s="113" t="s">
        <v>331</v>
      </c>
      <c r="F1273" s="107"/>
      <c r="G1273" s="10">
        <v>4</v>
      </c>
      <c r="H1273" s="103">
        <v>7.05</v>
      </c>
      <c r="I1273" s="108">
        <f>Tableau3[[#This Row],[Stock final]]*Tableau3[[#This Row],[P.U.]]</f>
        <v>28.2</v>
      </c>
      <c r="J1273" s="184"/>
    </row>
    <row r="1274" spans="1:10" ht="19.350000000000001" customHeight="1">
      <c r="A1274" s="102" t="s">
        <v>489</v>
      </c>
      <c r="B1274" s="102" t="s">
        <v>490</v>
      </c>
      <c r="C1274" s="116">
        <v>80283</v>
      </c>
      <c r="D1274" s="11" t="s">
        <v>506</v>
      </c>
      <c r="E1274" s="113" t="s">
        <v>341</v>
      </c>
      <c r="F1274" s="107"/>
      <c r="G1274" s="10">
        <v>5</v>
      </c>
      <c r="H1274" s="103">
        <v>11.02</v>
      </c>
      <c r="I1274" s="108">
        <f>Tableau3[[#This Row],[Stock final]]*Tableau3[[#This Row],[P.U.]]</f>
        <v>55.099999999999994</v>
      </c>
      <c r="J1274" s="184"/>
    </row>
    <row r="1275" spans="1:10" ht="19.350000000000001" customHeight="1">
      <c r="A1275" s="102" t="s">
        <v>489</v>
      </c>
      <c r="B1275" s="102" t="s">
        <v>490</v>
      </c>
      <c r="C1275" s="116"/>
      <c r="F1275" s="107"/>
      <c r="G1275" s="10"/>
      <c r="H1275" s="103"/>
      <c r="I1275" s="108">
        <f>Tableau3[[#This Row],[Stock final]]*Tableau3[[#This Row],[P.U.]]</f>
        <v>0</v>
      </c>
      <c r="J1275" s="184"/>
    </row>
    <row r="1276" spans="1:10" ht="19.350000000000001" customHeight="1">
      <c r="A1276" s="102" t="s">
        <v>489</v>
      </c>
      <c r="B1276" s="102" t="s">
        <v>481</v>
      </c>
      <c r="C1276" s="116">
        <v>86027</v>
      </c>
      <c r="D1276" s="11" t="s">
        <v>508</v>
      </c>
      <c r="E1276" s="113" t="s">
        <v>331</v>
      </c>
      <c r="F1276" s="107"/>
      <c r="G1276" s="10">
        <v>3</v>
      </c>
      <c r="H1276" s="103">
        <v>7.23</v>
      </c>
      <c r="I1276" s="108">
        <f>Tableau3[[#This Row],[Stock final]]*Tableau3[[#This Row],[P.U.]]</f>
        <v>21.69</v>
      </c>
      <c r="J1276" s="184"/>
    </row>
    <row r="1277" spans="1:10" ht="19.350000000000001" customHeight="1">
      <c r="A1277" s="102" t="s">
        <v>489</v>
      </c>
      <c r="B1277" s="102" t="s">
        <v>481</v>
      </c>
      <c r="C1277" s="116" t="s">
        <v>509</v>
      </c>
      <c r="D1277" s="11" t="s">
        <v>510</v>
      </c>
      <c r="E1277" s="113" t="s">
        <v>341</v>
      </c>
      <c r="F1277" s="107"/>
      <c r="G1277" s="10"/>
      <c r="H1277" s="103">
        <v>8.4600000000000009</v>
      </c>
      <c r="I1277" s="108">
        <f>Tableau3[[#This Row],[Stock final]]*Tableau3[[#This Row],[P.U.]]</f>
        <v>0</v>
      </c>
      <c r="J1277" s="184"/>
    </row>
    <row r="1278" spans="1:10" ht="19.350000000000001" customHeight="1">
      <c r="A1278" s="102" t="s">
        <v>489</v>
      </c>
      <c r="B1278" s="102" t="s">
        <v>507</v>
      </c>
      <c r="C1278" s="116" t="s">
        <v>511</v>
      </c>
      <c r="D1278" s="11" t="s">
        <v>512</v>
      </c>
      <c r="E1278" s="113" t="s">
        <v>341</v>
      </c>
      <c r="F1278" s="107"/>
      <c r="G1278" s="10">
        <v>5</v>
      </c>
      <c r="H1278" s="103">
        <v>16.41</v>
      </c>
      <c r="I1278" s="108">
        <f>Tableau3[[#This Row],[Stock final]]*Tableau3[[#This Row],[P.U.]]</f>
        <v>82.05</v>
      </c>
      <c r="J1278" s="184"/>
    </row>
    <row r="1279" spans="1:10" ht="19.350000000000001" customHeight="1">
      <c r="A1279" s="102" t="s">
        <v>489</v>
      </c>
      <c r="B1279" s="102" t="s">
        <v>481</v>
      </c>
      <c r="C1279" s="116">
        <v>86057</v>
      </c>
      <c r="D1279" s="11" t="s">
        <v>513</v>
      </c>
      <c r="E1279" s="113" t="s">
        <v>341</v>
      </c>
      <c r="F1279" s="107"/>
      <c r="G1279" s="10">
        <v>4</v>
      </c>
      <c r="H1279" s="103">
        <v>7.15</v>
      </c>
      <c r="I1279" s="108">
        <f>Tableau3[[#This Row],[Stock final]]*Tableau3[[#This Row],[P.U.]]</f>
        <v>28.6</v>
      </c>
      <c r="J1279" s="184"/>
    </row>
    <row r="1280" spans="1:10" ht="19.350000000000001" customHeight="1">
      <c r="A1280" s="102" t="s">
        <v>489</v>
      </c>
      <c r="B1280" s="102" t="s">
        <v>481</v>
      </c>
      <c r="C1280" s="116">
        <v>86040</v>
      </c>
      <c r="D1280" s="11" t="s">
        <v>514</v>
      </c>
      <c r="E1280" s="113" t="s">
        <v>331</v>
      </c>
      <c r="F1280" s="107"/>
      <c r="G1280" s="10">
        <v>2</v>
      </c>
      <c r="H1280" s="103">
        <v>13.29</v>
      </c>
      <c r="I1280" s="108">
        <f>Tableau3[[#This Row],[Stock final]]*Tableau3[[#This Row],[P.U.]]</f>
        <v>26.58</v>
      </c>
      <c r="J1280" s="184"/>
    </row>
    <row r="1281" spans="1:10" ht="19.350000000000001" customHeight="1">
      <c r="A1281" s="102"/>
      <c r="B1281" s="102"/>
      <c r="C1281" s="116"/>
      <c r="F1281" s="107"/>
      <c r="G1281" s="10"/>
      <c r="H1281" s="103"/>
      <c r="I1281" s="108">
        <f>Tableau3[[#This Row],[Stock final]]*Tableau3[[#This Row],[P.U.]]</f>
        <v>0</v>
      </c>
      <c r="J1281" s="184"/>
    </row>
    <row r="1282" spans="1:10" ht="19.350000000000001" customHeight="1">
      <c r="A1282" s="102"/>
      <c r="B1282" s="102"/>
      <c r="C1282" s="116"/>
      <c r="F1282" s="107"/>
      <c r="G1282" s="10"/>
      <c r="H1282" s="103"/>
      <c r="I1282" s="108">
        <f>Tableau3[[#This Row],[Stock final]]*Tableau3[[#This Row],[P.U.]]</f>
        <v>0</v>
      </c>
      <c r="J1282" s="184"/>
    </row>
    <row r="1283" spans="1:10" ht="19.350000000000001" customHeight="1">
      <c r="A1283" s="102"/>
      <c r="B1283" s="102"/>
      <c r="C1283" s="116"/>
      <c r="F1283" s="107"/>
      <c r="G1283" s="10"/>
      <c r="H1283" s="103"/>
      <c r="I1283" s="108">
        <f>Tableau3[[#This Row],[Stock final]]*Tableau3[[#This Row],[P.U.]]</f>
        <v>0</v>
      </c>
      <c r="J1283" s="184"/>
    </row>
    <row r="1284" spans="1:10" ht="19.350000000000001" customHeight="1">
      <c r="A1284" s="102"/>
      <c r="B1284" s="102"/>
      <c r="C1284" s="116"/>
      <c r="F1284" s="107"/>
      <c r="G1284" s="10"/>
      <c r="H1284" s="103"/>
      <c r="I1284" s="108">
        <f>Tableau3[[#This Row],[Stock final]]*Tableau3[[#This Row],[P.U.]]</f>
        <v>0</v>
      </c>
      <c r="J1284" s="184"/>
    </row>
    <row r="1285" spans="1:10" ht="19.350000000000001" customHeight="1">
      <c r="A1285" s="102"/>
      <c r="B1285" s="102"/>
      <c r="C1285" s="116"/>
      <c r="F1285" s="107"/>
      <c r="G1285" s="10"/>
      <c r="H1285" s="103"/>
      <c r="I1285" s="108">
        <f>Tableau3[[#This Row],[Stock final]]*Tableau3[[#This Row],[P.U.]]</f>
        <v>0</v>
      </c>
      <c r="J1285" s="184"/>
    </row>
    <row r="1286" spans="1:10" ht="19.350000000000001" customHeight="1">
      <c r="A1286" s="102"/>
      <c r="B1286" s="102"/>
      <c r="C1286" s="116"/>
      <c r="F1286" s="107"/>
      <c r="G1286" s="10"/>
      <c r="H1286" s="103"/>
      <c r="I1286" s="108">
        <f>Tableau3[[#This Row],[Stock final]]*Tableau3[[#This Row],[P.U.]]</f>
        <v>0</v>
      </c>
      <c r="J1286" s="184"/>
    </row>
    <row r="1287" spans="1:10" ht="19.350000000000001" customHeight="1">
      <c r="A1287" s="102"/>
      <c r="B1287" s="102"/>
      <c r="C1287" s="116"/>
      <c r="F1287" s="107"/>
      <c r="G1287" s="10"/>
      <c r="H1287" s="103"/>
      <c r="I1287" s="108">
        <f>Tableau3[[#This Row],[Stock final]]*Tableau3[[#This Row],[P.U.]]</f>
        <v>0</v>
      </c>
      <c r="J1287" s="184"/>
    </row>
    <row r="1288" spans="1:10" ht="19.350000000000001" customHeight="1">
      <c r="A1288" s="102"/>
      <c r="B1288" s="102"/>
      <c r="C1288" s="116"/>
      <c r="F1288" s="107"/>
      <c r="G1288" s="10"/>
      <c r="H1288" s="103"/>
      <c r="I1288" s="108">
        <f>Tableau3[[#This Row],[Stock final]]*Tableau3[[#This Row],[P.U.]]</f>
        <v>0</v>
      </c>
      <c r="J1288" s="184"/>
    </row>
    <row r="1289" spans="1:10" ht="19.350000000000001" customHeight="1">
      <c r="A1289" s="102"/>
      <c r="B1289" s="102"/>
      <c r="C1289" s="116"/>
      <c r="F1289" s="107"/>
      <c r="G1289" s="10"/>
      <c r="H1289" s="103"/>
      <c r="I1289" s="108">
        <f>Tableau3[[#This Row],[Stock final]]*Tableau3[[#This Row],[P.U.]]</f>
        <v>0</v>
      </c>
      <c r="J1289" s="184"/>
    </row>
    <row r="1290" spans="1:10" ht="19.350000000000001" customHeight="1">
      <c r="A1290" s="102"/>
      <c r="B1290" s="102"/>
      <c r="C1290" s="116"/>
      <c r="F1290" s="107"/>
      <c r="G1290" s="10"/>
      <c r="H1290" s="103"/>
      <c r="I1290" s="108">
        <f>Tableau3[[#This Row],[Stock final]]*Tableau3[[#This Row],[P.U.]]</f>
        <v>0</v>
      </c>
      <c r="J1290" s="184"/>
    </row>
    <row r="1291" spans="1:10" ht="19.350000000000001" customHeight="1">
      <c r="A1291" s="102"/>
      <c r="B1291" s="102"/>
      <c r="C1291" s="116"/>
      <c r="F1291" s="107"/>
      <c r="G1291" s="10"/>
      <c r="H1291" s="103"/>
      <c r="I1291" s="108">
        <f>Tableau3[[#This Row],[Stock final]]*Tableau3[[#This Row],[P.U.]]</f>
        <v>0</v>
      </c>
      <c r="J1291" s="184"/>
    </row>
    <row r="1292" spans="1:10" ht="19.350000000000001" customHeight="1">
      <c r="A1292" s="102"/>
      <c r="B1292" s="102"/>
      <c r="C1292" s="116"/>
      <c r="F1292" s="107"/>
      <c r="G1292" s="10"/>
      <c r="H1292" s="103"/>
      <c r="I1292" s="108">
        <f>Tableau3[[#This Row],[Stock final]]*Tableau3[[#This Row],[P.U.]]</f>
        <v>0</v>
      </c>
      <c r="J1292" s="184"/>
    </row>
    <row r="1293" spans="1:10" ht="19.350000000000001" customHeight="1">
      <c r="A1293" s="102"/>
      <c r="B1293" s="102"/>
      <c r="C1293" s="116"/>
      <c r="F1293" s="107"/>
      <c r="G1293" s="10"/>
      <c r="H1293" s="103"/>
      <c r="I1293" s="108">
        <f>Tableau3[[#This Row],[Stock final]]*Tableau3[[#This Row],[P.U.]]</f>
        <v>0</v>
      </c>
      <c r="J1293" s="184"/>
    </row>
    <row r="1294" spans="1:10" ht="19.350000000000001" customHeight="1">
      <c r="A1294" s="102"/>
      <c r="B1294" s="102"/>
      <c r="C1294" s="116"/>
      <c r="F1294" s="107"/>
      <c r="G1294" s="10"/>
      <c r="H1294" s="103"/>
      <c r="I1294" s="108">
        <f>Tableau3[[#This Row],[Stock final]]*Tableau3[[#This Row],[P.U.]]</f>
        <v>0</v>
      </c>
      <c r="J1294" s="184"/>
    </row>
    <row r="1295" spans="1:10" ht="19.350000000000001" customHeight="1">
      <c r="A1295" s="102"/>
      <c r="B1295" s="102"/>
      <c r="C1295" s="116"/>
      <c r="F1295" s="107"/>
      <c r="G1295" s="10"/>
      <c r="H1295" s="103"/>
      <c r="I1295" s="108">
        <f>Tableau3[[#This Row],[Stock final]]*Tableau3[[#This Row],[P.U.]]</f>
        <v>0</v>
      </c>
      <c r="J1295" s="184"/>
    </row>
    <row r="1296" spans="1:10" ht="19.350000000000001" customHeight="1">
      <c r="A1296" s="102"/>
      <c r="B1296" s="102"/>
      <c r="C1296" s="116"/>
      <c r="F1296" s="107"/>
      <c r="G1296" s="10"/>
      <c r="H1296" s="103"/>
      <c r="I1296" s="108">
        <f>Tableau3[[#This Row],[Stock final]]*Tableau3[[#This Row],[P.U.]]</f>
        <v>0</v>
      </c>
      <c r="J1296" s="184"/>
    </row>
    <row r="1297" spans="1:10" ht="19.350000000000001" customHeight="1">
      <c r="A1297" s="102"/>
      <c r="B1297" s="102"/>
      <c r="C1297" s="116"/>
      <c r="F1297" s="107"/>
      <c r="G1297" s="10"/>
      <c r="H1297" s="103"/>
      <c r="I1297" s="108">
        <f>Tableau3[[#This Row],[Stock final]]*Tableau3[[#This Row],[P.U.]]</f>
        <v>0</v>
      </c>
      <c r="J1297" s="184"/>
    </row>
    <row r="1298" spans="1:10" ht="19.350000000000001" customHeight="1">
      <c r="A1298" s="102"/>
      <c r="B1298" s="102"/>
      <c r="C1298" s="116"/>
      <c r="F1298" s="107"/>
      <c r="G1298" s="10"/>
      <c r="H1298" s="103"/>
      <c r="I1298" s="108">
        <f>Tableau3[[#This Row],[Stock final]]*Tableau3[[#This Row],[P.U.]]</f>
        <v>0</v>
      </c>
      <c r="J1298" s="184"/>
    </row>
    <row r="1299" spans="1:10" ht="19.350000000000001" customHeight="1">
      <c r="A1299" s="102"/>
      <c r="B1299" s="102"/>
      <c r="C1299" s="116"/>
      <c r="F1299" s="107"/>
      <c r="G1299" s="10"/>
      <c r="H1299" s="103"/>
      <c r="I1299" s="108">
        <f>Tableau3[[#This Row],[Stock final]]*Tableau3[[#This Row],[P.U.]]</f>
        <v>0</v>
      </c>
      <c r="J1299" s="184"/>
    </row>
    <row r="1300" spans="1:10" ht="19.350000000000001" customHeight="1">
      <c r="A1300" s="102" t="s">
        <v>515</v>
      </c>
      <c r="B1300" s="102" t="s">
        <v>516</v>
      </c>
      <c r="C1300" s="116" t="s">
        <v>517</v>
      </c>
      <c r="D1300" s="124" t="s">
        <v>518</v>
      </c>
      <c r="E1300" s="113" t="s">
        <v>519</v>
      </c>
      <c r="F1300" s="107"/>
      <c r="G1300" s="10">
        <v>4</v>
      </c>
      <c r="H1300" s="103">
        <v>142.51</v>
      </c>
      <c r="I1300" s="108">
        <f>Tableau3[[#This Row],[Stock final]]*Tableau3[[#This Row],[P.U.]]</f>
        <v>570.04</v>
      </c>
      <c r="J1300" s="184"/>
    </row>
    <row r="1301" spans="1:10" ht="19.350000000000001" customHeight="1">
      <c r="A1301" s="102" t="s">
        <v>515</v>
      </c>
      <c r="B1301" s="102" t="s">
        <v>516</v>
      </c>
      <c r="C1301" s="116" t="s">
        <v>520</v>
      </c>
      <c r="D1301" s="124" t="s">
        <v>521</v>
      </c>
      <c r="E1301" s="113" t="s">
        <v>522</v>
      </c>
      <c r="F1301" s="107"/>
      <c r="G1301" s="10"/>
      <c r="H1301" s="103">
        <v>142.51</v>
      </c>
      <c r="I1301" s="108">
        <f>Tableau3[[#This Row],[Stock final]]*Tableau3[[#This Row],[P.U.]]</f>
        <v>0</v>
      </c>
      <c r="J1301" s="184"/>
    </row>
    <row r="1302" spans="1:10" ht="19.350000000000001" customHeight="1">
      <c r="A1302" s="102" t="s">
        <v>515</v>
      </c>
      <c r="B1302" s="102" t="s">
        <v>516</v>
      </c>
      <c r="C1302" s="116"/>
      <c r="D1302" s="114" t="s">
        <v>523</v>
      </c>
      <c r="E1302" s="113" t="s">
        <v>315</v>
      </c>
      <c r="F1302" s="107"/>
      <c r="G1302" s="10">
        <v>7</v>
      </c>
      <c r="H1302" s="103"/>
      <c r="I1302" s="108">
        <f>Tableau3[[#This Row],[Stock final]]*Tableau3[[#This Row],[P.U.]]</f>
        <v>0</v>
      </c>
      <c r="J1302" s="184"/>
    </row>
    <row r="1303" spans="1:10" ht="19.350000000000001" customHeight="1">
      <c r="A1303" s="102" t="s">
        <v>515</v>
      </c>
      <c r="B1303" s="102" t="s">
        <v>516</v>
      </c>
      <c r="C1303" s="116"/>
      <c r="D1303" s="114" t="s">
        <v>524</v>
      </c>
      <c r="E1303" s="113" t="s">
        <v>328</v>
      </c>
      <c r="F1303" s="107"/>
      <c r="G1303" s="10">
        <v>3</v>
      </c>
      <c r="H1303" s="103">
        <v>142.51</v>
      </c>
      <c r="I1303" s="108">
        <f>Tableau3[[#This Row],[Stock final]]*Tableau3[[#This Row],[P.U.]]</f>
        <v>427.53</v>
      </c>
      <c r="J1303" s="184"/>
    </row>
    <row r="1304" spans="1:10" ht="19.350000000000001" customHeight="1">
      <c r="A1304" s="102" t="s">
        <v>515</v>
      </c>
      <c r="B1304" s="102" t="s">
        <v>516</v>
      </c>
      <c r="C1304" s="116" t="s">
        <v>525</v>
      </c>
      <c r="D1304" s="124" t="s">
        <v>526</v>
      </c>
      <c r="F1304" s="107"/>
      <c r="G1304" s="10">
        <v>10</v>
      </c>
      <c r="H1304" s="103">
        <v>30</v>
      </c>
      <c r="I1304" s="108">
        <f>Tableau3[[#This Row],[Stock final]]*Tableau3[[#This Row],[P.U.]]</f>
        <v>300</v>
      </c>
      <c r="J1304" s="184"/>
    </row>
    <row r="1305" spans="1:10" ht="19.350000000000001" customHeight="1">
      <c r="A1305" s="102" t="s">
        <v>515</v>
      </c>
      <c r="B1305" s="102" t="s">
        <v>516</v>
      </c>
      <c r="C1305" s="116" t="s">
        <v>527</v>
      </c>
      <c r="D1305" s="124" t="s">
        <v>528</v>
      </c>
      <c r="F1305" s="107"/>
      <c r="G1305" s="10"/>
      <c r="H1305" s="103">
        <v>30</v>
      </c>
      <c r="I1305" s="108">
        <f>Tableau3[[#This Row],[Stock final]]*Tableau3[[#This Row],[P.U.]]</f>
        <v>0</v>
      </c>
      <c r="J1305" s="184"/>
    </row>
    <row r="1306" spans="1:10" ht="19.350000000000001" customHeight="1">
      <c r="A1306" s="102" t="s">
        <v>515</v>
      </c>
      <c r="B1306" s="102" t="s">
        <v>516</v>
      </c>
      <c r="C1306" s="116"/>
      <c r="F1306" s="107"/>
      <c r="G1306" s="10"/>
      <c r="H1306" s="103"/>
      <c r="I1306" s="108">
        <f>Tableau3[[#This Row],[Stock final]]*Tableau3[[#This Row],[P.U.]]</f>
        <v>0</v>
      </c>
      <c r="J1306" s="184"/>
    </row>
    <row r="1307" spans="1:10" ht="19.350000000000001" customHeight="1">
      <c r="A1307" s="102" t="s">
        <v>515</v>
      </c>
      <c r="B1307" s="102"/>
      <c r="C1307" s="116"/>
      <c r="F1307" s="107"/>
      <c r="G1307" s="10"/>
      <c r="H1307" s="103"/>
      <c r="I1307" s="108">
        <f>Tableau3[[#This Row],[Stock final]]*Tableau3[[#This Row],[P.U.]]</f>
        <v>0</v>
      </c>
      <c r="J1307" s="184"/>
    </row>
    <row r="1308" spans="1:10" ht="19.350000000000001" customHeight="1">
      <c r="A1308" s="102" t="s">
        <v>515</v>
      </c>
      <c r="B1308" s="102"/>
      <c r="C1308" s="116"/>
      <c r="F1308" s="107"/>
      <c r="G1308" s="10"/>
      <c r="H1308" s="103"/>
      <c r="I1308" s="108">
        <f>Tableau3[[#This Row],[Stock final]]*Tableau3[[#This Row],[P.U.]]</f>
        <v>0</v>
      </c>
      <c r="J1308" s="184"/>
    </row>
    <row r="1309" spans="1:10" ht="19.350000000000001" customHeight="1">
      <c r="A1309" s="102" t="s">
        <v>515</v>
      </c>
      <c r="B1309" s="102"/>
      <c r="C1309" s="116"/>
      <c r="F1309" s="107"/>
      <c r="G1309" s="10"/>
      <c r="H1309" s="103"/>
      <c r="I1309" s="108">
        <f>Tableau3[[#This Row],[Stock final]]*Tableau3[[#This Row],[P.U.]]</f>
        <v>0</v>
      </c>
      <c r="J1309" s="184"/>
    </row>
    <row r="1310" spans="1:10" ht="19.350000000000001" customHeight="1">
      <c r="A1310" s="102" t="s">
        <v>515</v>
      </c>
      <c r="B1310" s="102"/>
      <c r="C1310" s="116"/>
      <c r="F1310" s="107"/>
      <c r="G1310" s="10"/>
      <c r="H1310" s="103"/>
      <c r="I1310" s="108">
        <f>Tableau3[[#This Row],[Stock final]]*Tableau3[[#This Row],[P.U.]]</f>
        <v>0</v>
      </c>
      <c r="J1310" s="184"/>
    </row>
    <row r="1311" spans="1:10" ht="19.350000000000001" customHeight="1">
      <c r="A1311" s="102" t="s">
        <v>515</v>
      </c>
      <c r="B1311" s="102"/>
      <c r="C1311" s="116"/>
      <c r="F1311" s="107"/>
      <c r="G1311" s="10"/>
      <c r="H1311" s="103"/>
      <c r="I1311" s="108">
        <f>Tableau3[[#This Row],[Stock final]]*Tableau3[[#This Row],[P.U.]]</f>
        <v>0</v>
      </c>
      <c r="J1311" s="184"/>
    </row>
    <row r="1312" spans="1:10" ht="19.350000000000001" customHeight="1">
      <c r="A1312" s="102" t="s">
        <v>529</v>
      </c>
      <c r="B1312" s="102" t="s">
        <v>530</v>
      </c>
      <c r="C1312" s="11">
        <v>5004</v>
      </c>
      <c r="D1312" s="175" t="s">
        <v>531</v>
      </c>
      <c r="E1312" s="113" t="s">
        <v>532</v>
      </c>
      <c r="F1312" s="107"/>
      <c r="G1312" s="10"/>
      <c r="H1312" s="103">
        <v>47.93</v>
      </c>
      <c r="I1312" s="108">
        <f>Tableau3[[#This Row],[Stock final]]*Tableau3[[#This Row],[P.U.]]</f>
        <v>0</v>
      </c>
      <c r="J1312" s="184"/>
    </row>
    <row r="1313" spans="1:10" ht="19.350000000000001" customHeight="1">
      <c r="A1313" s="102" t="s">
        <v>529</v>
      </c>
      <c r="B1313" s="102" t="s">
        <v>530</v>
      </c>
      <c r="C1313" s="11">
        <v>5003</v>
      </c>
      <c r="D1313" s="175" t="s">
        <v>533</v>
      </c>
      <c r="E1313" s="113" t="s">
        <v>532</v>
      </c>
      <c r="F1313" s="107"/>
      <c r="G1313" s="10">
        <v>3</v>
      </c>
      <c r="H1313" s="103">
        <v>47.75</v>
      </c>
      <c r="I1313" s="108">
        <f>Tableau3[[#This Row],[Stock final]]*Tableau3[[#This Row],[P.U.]]</f>
        <v>143.25</v>
      </c>
      <c r="J1313" s="184"/>
    </row>
    <row r="1314" spans="1:10" ht="19.350000000000001" customHeight="1">
      <c r="A1314" s="102" t="s">
        <v>529</v>
      </c>
      <c r="B1314" s="102" t="s">
        <v>530</v>
      </c>
      <c r="C1314" s="121">
        <v>26810</v>
      </c>
      <c r="D1314" s="176" t="s">
        <v>534</v>
      </c>
      <c r="E1314" s="113" t="s">
        <v>535</v>
      </c>
      <c r="F1314" s="107"/>
      <c r="G1314" s="10"/>
      <c r="H1314" s="103">
        <v>17.09</v>
      </c>
      <c r="I1314" s="108">
        <f>Tableau3[[#This Row],[Stock final]]*Tableau3[[#This Row],[P.U.]]</f>
        <v>0</v>
      </c>
      <c r="J1314" s="184"/>
    </row>
    <row r="1315" spans="1:10" ht="19.350000000000001" customHeight="1">
      <c r="A1315" s="102" t="s">
        <v>529</v>
      </c>
      <c r="B1315" s="102" t="s">
        <v>530</v>
      </c>
      <c r="C1315" s="121">
        <v>27850</v>
      </c>
      <c r="D1315" s="176" t="s">
        <v>536</v>
      </c>
      <c r="E1315" s="113" t="s">
        <v>535</v>
      </c>
      <c r="F1315" s="107"/>
      <c r="G1315" s="10"/>
      <c r="H1315" s="103">
        <v>40.85</v>
      </c>
      <c r="I1315" s="108">
        <f>Tableau3[[#This Row],[Stock final]]*Tableau3[[#This Row],[P.U.]]</f>
        <v>0</v>
      </c>
      <c r="J1315" s="184"/>
    </row>
    <row r="1316" spans="1:10" ht="19.350000000000001" customHeight="1">
      <c r="A1316" s="102" t="s">
        <v>529</v>
      </c>
      <c r="B1316" s="102" t="s">
        <v>530</v>
      </c>
      <c r="C1316" s="121">
        <v>55242</v>
      </c>
      <c r="D1316" s="176" t="s">
        <v>537</v>
      </c>
      <c r="E1316" s="113" t="s">
        <v>532</v>
      </c>
      <c r="F1316" s="107"/>
      <c r="G1316" s="10">
        <v>4</v>
      </c>
      <c r="H1316" s="103">
        <v>249.71</v>
      </c>
      <c r="I1316" s="108">
        <f>Tableau3[[#This Row],[Stock final]]*Tableau3[[#This Row],[P.U.]]</f>
        <v>998.84</v>
      </c>
      <c r="J1316" s="184"/>
    </row>
    <row r="1317" spans="1:10" ht="19.350000000000001" customHeight="1">
      <c r="A1317" s="102" t="s">
        <v>529</v>
      </c>
      <c r="B1317" s="102"/>
      <c r="C1317" s="116"/>
      <c r="F1317" s="107"/>
      <c r="G1317" s="10"/>
      <c r="H1317" s="103"/>
      <c r="I1317" s="108">
        <f>Tableau3[[#This Row],[Stock final]]*Tableau3[[#This Row],[P.U.]]</f>
        <v>0</v>
      </c>
      <c r="J1317" s="184"/>
    </row>
    <row r="1318" spans="1:10" ht="19.350000000000001" customHeight="1">
      <c r="A1318" s="102" t="s">
        <v>529</v>
      </c>
      <c r="B1318" s="102"/>
      <c r="C1318" s="116"/>
      <c r="F1318" s="107"/>
      <c r="G1318" s="10"/>
      <c r="H1318" s="103"/>
      <c r="I1318" s="108">
        <f>Tableau3[[#This Row],[Stock final]]*Tableau3[[#This Row],[P.U.]]</f>
        <v>0</v>
      </c>
      <c r="J1318" s="184"/>
    </row>
    <row r="1319" spans="1:10" ht="19.350000000000001" customHeight="1">
      <c r="A1319" s="102" t="s">
        <v>529</v>
      </c>
      <c r="B1319" s="102"/>
      <c r="C1319" s="116"/>
      <c r="F1319" s="107"/>
      <c r="G1319" s="10"/>
      <c r="H1319" s="103"/>
      <c r="I1319" s="108">
        <f>Tableau3[[#This Row],[Stock final]]*Tableau3[[#This Row],[P.U.]]</f>
        <v>0</v>
      </c>
      <c r="J1319" s="184"/>
    </row>
    <row r="1320" spans="1:10" ht="19.350000000000001" customHeight="1">
      <c r="A1320" s="102" t="s">
        <v>538</v>
      </c>
      <c r="B1320" s="102" t="s">
        <v>539</v>
      </c>
      <c r="C1320" s="116">
        <v>152010</v>
      </c>
      <c r="D1320" s="114" t="s">
        <v>540</v>
      </c>
      <c r="E1320" s="113" t="s">
        <v>315</v>
      </c>
      <c r="F1320" s="107"/>
      <c r="G1320" s="10">
        <v>1</v>
      </c>
      <c r="H1320" s="103">
        <v>52.44</v>
      </c>
      <c r="I1320" s="108">
        <f>Tableau3[[#This Row],[Stock final]]*Tableau3[[#This Row],[P.U.]]</f>
        <v>52.44</v>
      </c>
      <c r="J1320" s="184"/>
    </row>
    <row r="1321" spans="1:10" ht="19.350000000000001" customHeight="1">
      <c r="A1321" s="102" t="s">
        <v>538</v>
      </c>
      <c r="B1321" s="105" t="s">
        <v>539</v>
      </c>
      <c r="C1321" s="116">
        <v>1000279</v>
      </c>
      <c r="D1321" s="114" t="s">
        <v>541</v>
      </c>
      <c r="E1321" s="113" t="s">
        <v>315</v>
      </c>
      <c r="F1321" s="107"/>
      <c r="G1321" s="10">
        <v>2</v>
      </c>
      <c r="H1321" s="103">
        <v>59.18</v>
      </c>
      <c r="I1321" s="108">
        <f>Tableau3[[#This Row],[Stock final]]*Tableau3[[#This Row],[P.U.]]</f>
        <v>118.36</v>
      </c>
      <c r="J1321" s="184"/>
    </row>
    <row r="1322" spans="1:10" ht="19.350000000000001" customHeight="1">
      <c r="A1322" s="102" t="s">
        <v>538</v>
      </c>
      <c r="B1322" s="102" t="s">
        <v>539</v>
      </c>
      <c r="C1322" s="116">
        <v>151511</v>
      </c>
      <c r="D1322" s="114" t="s">
        <v>542</v>
      </c>
      <c r="E1322" s="113" t="s">
        <v>341</v>
      </c>
      <c r="F1322" s="107"/>
      <c r="G1322" s="10">
        <v>20</v>
      </c>
      <c r="H1322" s="103">
        <v>42.7</v>
      </c>
      <c r="I1322" s="108">
        <f>Tableau3[[#This Row],[Stock final]]*Tableau3[[#This Row],[P.U.]]</f>
        <v>854</v>
      </c>
      <c r="J1322" s="184"/>
    </row>
    <row r="1323" spans="1:10" ht="19.350000000000001" customHeight="1">
      <c r="A1323" s="102" t="s">
        <v>538</v>
      </c>
      <c r="B1323" s="102" t="s">
        <v>539</v>
      </c>
      <c r="C1323" s="116">
        <v>1002015</v>
      </c>
      <c r="D1323" s="114" t="s">
        <v>543</v>
      </c>
      <c r="E1323" s="113" t="s">
        <v>331</v>
      </c>
      <c r="F1323" s="107"/>
      <c r="G1323" s="10">
        <v>1</v>
      </c>
      <c r="H1323" s="103">
        <v>48.91</v>
      </c>
      <c r="I1323" s="108">
        <f>Tableau3[[#This Row],[Stock final]]*Tableau3[[#This Row],[P.U.]]</f>
        <v>48.91</v>
      </c>
      <c r="J1323" s="184"/>
    </row>
    <row r="1324" spans="1:10" ht="19.350000000000001" customHeight="1">
      <c r="A1324" s="102" t="s">
        <v>538</v>
      </c>
      <c r="B1324" s="102" t="s">
        <v>539</v>
      </c>
      <c r="C1324" s="116">
        <v>1002011</v>
      </c>
      <c r="D1324" s="114" t="s">
        <v>544</v>
      </c>
      <c r="E1324" s="113" t="s">
        <v>341</v>
      </c>
      <c r="F1324" s="107"/>
      <c r="G1324" s="10">
        <v>1</v>
      </c>
      <c r="H1324" s="103">
        <v>48.91</v>
      </c>
      <c r="I1324" s="108">
        <f>Tableau3[[#This Row],[Stock final]]*Tableau3[[#This Row],[P.U.]]</f>
        <v>48.91</v>
      </c>
      <c r="J1324" s="184"/>
    </row>
    <row r="1325" spans="1:10" ht="19.350000000000001" customHeight="1">
      <c r="A1325" s="102" t="s">
        <v>538</v>
      </c>
      <c r="B1325" s="102" t="s">
        <v>539</v>
      </c>
      <c r="C1325" s="116">
        <v>1003014</v>
      </c>
      <c r="D1325" s="114" t="s">
        <v>545</v>
      </c>
      <c r="F1325" s="107"/>
      <c r="G1325" s="10"/>
      <c r="H1325" s="103">
        <v>49.58</v>
      </c>
      <c r="I1325" s="108">
        <f>Tableau3[[#This Row],[Stock final]]*Tableau3[[#This Row],[P.U.]]</f>
        <v>0</v>
      </c>
      <c r="J1325" s="184"/>
    </row>
    <row r="1326" spans="1:10" ht="19.350000000000001" customHeight="1">
      <c r="A1326" s="102" t="s">
        <v>538</v>
      </c>
      <c r="B1326" s="102" t="s">
        <v>539</v>
      </c>
      <c r="C1326" s="116">
        <v>132021</v>
      </c>
      <c r="D1326" s="114" t="s">
        <v>546</v>
      </c>
      <c r="E1326" s="113" t="s">
        <v>341</v>
      </c>
      <c r="F1326" s="107"/>
      <c r="G1326" s="10">
        <v>1</v>
      </c>
      <c r="H1326" s="103">
        <v>24.2</v>
      </c>
      <c r="I1326" s="108">
        <f>Tableau3[[#This Row],[Stock final]]*Tableau3[[#This Row],[P.U.]]</f>
        <v>24.2</v>
      </c>
      <c r="J1326" s="184"/>
    </row>
    <row r="1327" spans="1:10" ht="19.350000000000001" customHeight="1">
      <c r="A1327" s="102" t="s">
        <v>538</v>
      </c>
      <c r="B1327" s="102" t="s">
        <v>539</v>
      </c>
      <c r="C1327" s="116">
        <v>233625</v>
      </c>
      <c r="D1327" s="114" t="s">
        <v>547</v>
      </c>
      <c r="E1327" s="113" t="s">
        <v>437</v>
      </c>
      <c r="F1327" s="107"/>
      <c r="G1327" s="10">
        <v>2</v>
      </c>
      <c r="H1327" s="103">
        <v>51.75</v>
      </c>
      <c r="I1327" s="108">
        <f>Tableau3[[#This Row],[Stock final]]*Tableau3[[#This Row],[P.U.]]</f>
        <v>103.5</v>
      </c>
      <c r="J1327" s="184"/>
    </row>
    <row r="1328" spans="1:10" ht="19.350000000000001" customHeight="1">
      <c r="A1328" s="102" t="s">
        <v>538</v>
      </c>
      <c r="B1328" s="102" t="s">
        <v>539</v>
      </c>
      <c r="C1328" s="116">
        <v>113161</v>
      </c>
      <c r="D1328" s="114" t="s">
        <v>548</v>
      </c>
      <c r="F1328" s="107"/>
      <c r="G1328" s="10"/>
      <c r="H1328" s="103">
        <v>34.840000000000003</v>
      </c>
      <c r="I1328" s="108">
        <f>Tableau3[[#This Row],[Stock final]]*Tableau3[[#This Row],[P.U.]]</f>
        <v>0</v>
      </c>
      <c r="J1328" s="184"/>
    </row>
    <row r="1329" spans="1:10" ht="19.350000000000001" customHeight="1">
      <c r="A1329" s="102" t="s">
        <v>538</v>
      </c>
      <c r="B1329" s="102" t="s">
        <v>539</v>
      </c>
      <c r="C1329" s="116">
        <v>233601</v>
      </c>
      <c r="D1329" s="114" t="s">
        <v>549</v>
      </c>
      <c r="E1329" s="113" t="s">
        <v>550</v>
      </c>
      <c r="F1329" s="107"/>
      <c r="G1329" s="10">
        <v>2</v>
      </c>
      <c r="H1329" s="103">
        <v>43.47</v>
      </c>
      <c r="I1329" s="108">
        <f>Tableau3[[#This Row],[Stock final]]*Tableau3[[#This Row],[P.U.]]</f>
        <v>86.94</v>
      </c>
      <c r="J1329" s="184"/>
    </row>
    <row r="1330" spans="1:10" ht="19.350000000000001" customHeight="1">
      <c r="A1330" s="102" t="s">
        <v>538</v>
      </c>
      <c r="B1330" s="102" t="s">
        <v>539</v>
      </c>
      <c r="C1330" s="116">
        <v>113141</v>
      </c>
      <c r="D1330" s="126" t="s">
        <v>551</v>
      </c>
      <c r="E1330" s="113" t="s">
        <v>552</v>
      </c>
      <c r="F1330" s="107"/>
      <c r="G1330" s="10">
        <v>4</v>
      </c>
      <c r="H1330" s="103">
        <v>36.43</v>
      </c>
      <c r="I1330" s="108">
        <f>Tableau3[[#This Row],[Stock final]]*Tableau3[[#This Row],[P.U.]]</f>
        <v>145.72</v>
      </c>
      <c r="J1330" s="184"/>
    </row>
    <row r="1331" spans="1:10" ht="19.350000000000001" customHeight="1">
      <c r="A1331" s="102" t="s">
        <v>538</v>
      </c>
      <c r="B1331" s="102"/>
      <c r="C1331" s="116"/>
      <c r="F1331" s="107"/>
      <c r="G1331" s="10"/>
      <c r="H1331" s="103"/>
      <c r="I1331" s="108">
        <f>Tableau3[[#This Row],[Stock final]]*Tableau3[[#This Row],[P.U.]]</f>
        <v>0</v>
      </c>
      <c r="J1331" s="184"/>
    </row>
    <row r="1332" spans="1:10" ht="19.350000000000001" customHeight="1">
      <c r="A1332" s="102" t="s">
        <v>538</v>
      </c>
      <c r="B1332" s="102"/>
      <c r="C1332" s="116"/>
      <c r="F1332" s="107"/>
      <c r="G1332" s="10"/>
      <c r="H1332" s="103"/>
      <c r="I1332" s="108">
        <f>Tableau3[[#This Row],[Stock final]]*Tableau3[[#This Row],[P.U.]]</f>
        <v>0</v>
      </c>
      <c r="J1332" s="184"/>
    </row>
    <row r="1333" spans="1:10" ht="19.350000000000001" customHeight="1">
      <c r="A1333" s="102" t="s">
        <v>553</v>
      </c>
      <c r="B1333" s="102" t="s">
        <v>554</v>
      </c>
      <c r="C1333" s="116">
        <v>1249034</v>
      </c>
      <c r="D1333" s="114" t="s">
        <v>555</v>
      </c>
      <c r="E1333" s="113" t="s">
        <v>341</v>
      </c>
      <c r="F1333" s="107"/>
      <c r="G1333" s="10">
        <v>2</v>
      </c>
      <c r="H1333" s="103">
        <v>35.840000000000003</v>
      </c>
      <c r="I1333" s="108">
        <f>Tableau3[[#This Row],[Stock final]]*Tableau3[[#This Row],[P.U.]]</f>
        <v>71.680000000000007</v>
      </c>
      <c r="J1333" s="184"/>
    </row>
    <row r="1334" spans="1:10" ht="19.350000000000001" customHeight="1">
      <c r="A1334" s="102" t="s">
        <v>553</v>
      </c>
      <c r="B1334" s="102" t="s">
        <v>554</v>
      </c>
      <c r="C1334" s="116">
        <v>1058154</v>
      </c>
      <c r="D1334" s="114" t="s">
        <v>556</v>
      </c>
      <c r="E1334" s="113" t="s">
        <v>535</v>
      </c>
      <c r="F1334" s="107"/>
      <c r="G1334" s="10">
        <v>2</v>
      </c>
      <c r="H1334" s="103">
        <v>207.85</v>
      </c>
      <c r="I1334" s="108">
        <f>Tableau3[[#This Row],[Stock final]]*Tableau3[[#This Row],[P.U.]]</f>
        <v>415.7</v>
      </c>
      <c r="J1334" s="184"/>
    </row>
    <row r="1335" spans="1:10" ht="19.350000000000001" customHeight="1">
      <c r="A1335" s="102" t="s">
        <v>553</v>
      </c>
      <c r="B1335" s="102" t="s">
        <v>554</v>
      </c>
      <c r="C1335" s="116">
        <v>1215126</v>
      </c>
      <c r="D1335" s="114" t="s">
        <v>557</v>
      </c>
      <c r="E1335" s="113" t="s">
        <v>522</v>
      </c>
      <c r="F1335" s="107"/>
      <c r="G1335" s="10"/>
      <c r="H1335" s="103">
        <v>218.26</v>
      </c>
      <c r="I1335" s="108">
        <f>Tableau3[[#This Row],[Stock final]]*Tableau3[[#This Row],[P.U.]]</f>
        <v>0</v>
      </c>
      <c r="J1335" s="184"/>
    </row>
    <row r="1336" spans="1:10" ht="19.350000000000001" customHeight="1">
      <c r="A1336" s="102" t="s">
        <v>553</v>
      </c>
      <c r="B1336" s="102" t="s">
        <v>554</v>
      </c>
      <c r="C1336" s="116">
        <v>1350003</v>
      </c>
      <c r="D1336" s="114" t="s">
        <v>558</v>
      </c>
      <c r="E1336" s="113" t="s">
        <v>559</v>
      </c>
      <c r="F1336" s="107"/>
      <c r="G1336" s="10">
        <v>1</v>
      </c>
      <c r="H1336" s="103">
        <v>166.63</v>
      </c>
      <c r="I1336" s="108">
        <f>Tableau3[[#This Row],[Stock final]]*Tableau3[[#This Row],[P.U.]]</f>
        <v>166.63</v>
      </c>
      <c r="J1336" s="184"/>
    </row>
    <row r="1337" spans="1:10" ht="19.350000000000001" customHeight="1">
      <c r="A1337" s="102" t="s">
        <v>553</v>
      </c>
      <c r="B1337" s="102" t="s">
        <v>554</v>
      </c>
      <c r="C1337" s="116">
        <v>1157012</v>
      </c>
      <c r="D1337" s="114" t="s">
        <v>560</v>
      </c>
      <c r="E1337" s="113" t="s">
        <v>522</v>
      </c>
      <c r="F1337" s="107"/>
      <c r="G1337" s="10">
        <v>1</v>
      </c>
      <c r="H1337" s="103">
        <v>349.39</v>
      </c>
      <c r="I1337" s="108">
        <f>Tableau3[[#This Row],[Stock final]]*Tableau3[[#This Row],[P.U.]]</f>
        <v>349.39</v>
      </c>
      <c r="J1337" s="184"/>
    </row>
    <row r="1338" spans="1:10" ht="19.350000000000001" customHeight="1">
      <c r="A1338" s="102" t="s">
        <v>553</v>
      </c>
      <c r="B1338" s="102" t="s">
        <v>554</v>
      </c>
      <c r="C1338" s="116">
        <v>1080044</v>
      </c>
      <c r="D1338" s="114" t="s">
        <v>561</v>
      </c>
      <c r="E1338" s="113" t="s">
        <v>522</v>
      </c>
      <c r="F1338" s="107"/>
      <c r="G1338" s="10">
        <v>2</v>
      </c>
      <c r="H1338" s="103">
        <v>154.46</v>
      </c>
      <c r="I1338" s="108">
        <f>Tableau3[[#This Row],[Stock final]]*Tableau3[[#This Row],[P.U.]]</f>
        <v>308.92</v>
      </c>
      <c r="J1338" s="184"/>
    </row>
    <row r="1339" spans="1:10" ht="19.350000000000001" customHeight="1">
      <c r="A1339" s="102" t="s">
        <v>553</v>
      </c>
      <c r="B1339" s="102" t="s">
        <v>554</v>
      </c>
      <c r="C1339" s="116">
        <v>1095029</v>
      </c>
      <c r="D1339" s="114" t="s">
        <v>562</v>
      </c>
      <c r="E1339" s="113" t="s">
        <v>522</v>
      </c>
      <c r="F1339" s="107"/>
      <c r="G1339" s="10">
        <v>1</v>
      </c>
      <c r="H1339" s="103">
        <v>299.85000000000002</v>
      </c>
      <c r="I1339" s="108">
        <f>Tableau3[[#This Row],[Stock final]]*Tableau3[[#This Row],[P.U.]]</f>
        <v>299.85000000000002</v>
      </c>
      <c r="J1339" s="184"/>
    </row>
    <row r="1340" spans="1:10" ht="19.350000000000001" customHeight="1">
      <c r="A1340" s="102" t="s">
        <v>553</v>
      </c>
      <c r="B1340" s="102" t="s">
        <v>554</v>
      </c>
      <c r="C1340" s="116">
        <v>1106001</v>
      </c>
      <c r="D1340" s="114" t="s">
        <v>563</v>
      </c>
      <c r="E1340" s="113" t="s">
        <v>564</v>
      </c>
      <c r="F1340" s="107"/>
      <c r="G1340" s="10">
        <v>1</v>
      </c>
      <c r="H1340" s="103">
        <v>148.82</v>
      </c>
      <c r="I1340" s="108">
        <f>Tableau3[[#This Row],[Stock final]]*Tableau3[[#This Row],[P.U.]]</f>
        <v>148.82</v>
      </c>
      <c r="J1340" s="184"/>
    </row>
    <row r="1341" spans="1:10" ht="19.350000000000001" customHeight="1">
      <c r="A1341" s="102" t="s">
        <v>553</v>
      </c>
      <c r="B1341" s="102" t="s">
        <v>554</v>
      </c>
      <c r="C1341" s="116">
        <v>1295001</v>
      </c>
      <c r="D1341" s="114" t="s">
        <v>565</v>
      </c>
      <c r="E1341" s="113" t="s">
        <v>564</v>
      </c>
      <c r="F1341" s="107"/>
      <c r="G1341" s="10">
        <v>2</v>
      </c>
      <c r="H1341" s="103">
        <v>233.56</v>
      </c>
      <c r="I1341" s="108">
        <f>Tableau3[[#This Row],[Stock final]]*Tableau3[[#This Row],[P.U.]]</f>
        <v>467.12</v>
      </c>
      <c r="J1341" s="184"/>
    </row>
    <row r="1342" spans="1:10" ht="19.350000000000001" customHeight="1">
      <c r="A1342" s="102" t="s">
        <v>553</v>
      </c>
      <c r="B1342" s="102" t="s">
        <v>554</v>
      </c>
      <c r="C1342" s="116">
        <v>1340011</v>
      </c>
      <c r="D1342" s="114" t="s">
        <v>566</v>
      </c>
      <c r="E1342" s="113" t="s">
        <v>315</v>
      </c>
      <c r="F1342" s="107"/>
      <c r="G1342" s="10">
        <v>1</v>
      </c>
      <c r="H1342" s="103">
        <v>429.03</v>
      </c>
      <c r="I1342" s="108">
        <f>Tableau3[[#This Row],[Stock final]]*Tableau3[[#This Row],[P.U.]]</f>
        <v>429.03</v>
      </c>
      <c r="J1342" s="184"/>
    </row>
    <row r="1343" spans="1:10" ht="19.350000000000001" customHeight="1">
      <c r="A1343" s="102" t="s">
        <v>553</v>
      </c>
      <c r="B1343" s="102"/>
      <c r="C1343" s="116"/>
      <c r="F1343" s="107"/>
      <c r="G1343" s="10"/>
      <c r="H1343" s="103"/>
      <c r="I1343" s="108">
        <f>Tableau3[[#This Row],[Stock final]]*Tableau3[[#This Row],[P.U.]]</f>
        <v>0</v>
      </c>
      <c r="J1343" s="184"/>
    </row>
    <row r="1344" spans="1:10" ht="19.350000000000001" customHeight="1">
      <c r="A1344" s="102" t="s">
        <v>553</v>
      </c>
      <c r="B1344" s="102"/>
      <c r="C1344" s="116"/>
      <c r="F1344" s="107"/>
      <c r="G1344" s="10"/>
      <c r="H1344" s="103"/>
      <c r="I1344" s="108">
        <f>Tableau3[[#This Row],[Stock final]]*Tableau3[[#This Row],[P.U.]]</f>
        <v>0</v>
      </c>
      <c r="J1344" s="184"/>
    </row>
    <row r="1345" spans="1:10" ht="19.350000000000001" customHeight="1">
      <c r="A1345" s="102" t="s">
        <v>553</v>
      </c>
      <c r="B1345" s="102"/>
      <c r="C1345" s="116"/>
      <c r="F1345" s="107"/>
      <c r="G1345" s="10"/>
      <c r="H1345" s="103"/>
      <c r="I1345" s="108">
        <f>Tableau3[[#This Row],[Stock final]]*Tableau3[[#This Row],[P.U.]]</f>
        <v>0</v>
      </c>
      <c r="J1345" s="184"/>
    </row>
    <row r="1346" spans="1:10" ht="19.350000000000001" customHeight="1">
      <c r="A1346" s="102" t="s">
        <v>553</v>
      </c>
      <c r="B1346" s="102"/>
      <c r="C1346" s="116"/>
      <c r="F1346" s="107"/>
      <c r="G1346" s="10"/>
      <c r="H1346" s="103"/>
      <c r="I1346" s="108">
        <f>Tableau3[[#This Row],[Stock final]]*Tableau3[[#This Row],[P.U.]]</f>
        <v>0</v>
      </c>
      <c r="J1346" s="184"/>
    </row>
    <row r="1347" spans="1:10" ht="19.350000000000001" customHeight="1">
      <c r="A1347" s="102" t="s">
        <v>553</v>
      </c>
      <c r="B1347" s="102"/>
      <c r="C1347" s="116"/>
      <c r="F1347" s="107"/>
      <c r="G1347" s="10"/>
      <c r="H1347" s="103"/>
      <c r="I1347" s="108">
        <f>Tableau3[[#This Row],[Stock final]]*Tableau3[[#This Row],[P.U.]]</f>
        <v>0</v>
      </c>
      <c r="J1347" s="184"/>
    </row>
    <row r="1348" spans="1:10" ht="19.350000000000001" customHeight="1">
      <c r="A1348" s="102" t="s">
        <v>553</v>
      </c>
      <c r="B1348" s="102"/>
      <c r="C1348" s="116"/>
      <c r="F1348" s="107"/>
      <c r="G1348" s="10"/>
      <c r="H1348" s="103"/>
      <c r="I1348" s="108">
        <f>Tableau3[[#This Row],[Stock final]]*Tableau3[[#This Row],[P.U.]]</f>
        <v>0</v>
      </c>
      <c r="J1348" s="184"/>
    </row>
    <row r="1349" spans="1:10" ht="19.350000000000001" customHeight="1">
      <c r="A1349" s="102" t="s">
        <v>553</v>
      </c>
      <c r="B1349" s="102"/>
      <c r="C1349" s="116"/>
      <c r="F1349" s="107"/>
      <c r="G1349" s="10"/>
      <c r="H1349" s="103"/>
      <c r="I1349" s="108">
        <f>Tableau3[[#This Row],[Stock final]]*Tableau3[[#This Row],[P.U.]]</f>
        <v>0</v>
      </c>
      <c r="J1349" s="184"/>
    </row>
    <row r="1350" spans="1:10" ht="19.350000000000001" customHeight="1">
      <c r="A1350" s="102" t="s">
        <v>553</v>
      </c>
      <c r="B1350" s="102"/>
      <c r="C1350" s="116"/>
      <c r="F1350" s="107"/>
      <c r="G1350" s="10"/>
      <c r="H1350" s="103"/>
      <c r="I1350" s="108">
        <f>Tableau3[[#This Row],[Stock final]]*Tableau3[[#This Row],[P.U.]]</f>
        <v>0</v>
      </c>
      <c r="J1350" s="184"/>
    </row>
    <row r="1351" spans="1:10" ht="19.350000000000001" customHeight="1">
      <c r="A1351" s="102"/>
      <c r="B1351" s="102"/>
      <c r="C1351" s="116"/>
      <c r="F1351" s="107"/>
      <c r="G1351" s="10"/>
      <c r="H1351" s="103"/>
      <c r="I1351" s="108">
        <f>Tableau3[[#This Row],[Stock final]]*Tableau3[[#This Row],[P.U.]]</f>
        <v>0</v>
      </c>
      <c r="J1351" s="184"/>
    </row>
    <row r="1352" spans="1:10" ht="19.350000000000001" customHeight="1">
      <c r="A1352" s="102"/>
      <c r="B1352" s="102"/>
      <c r="C1352" s="116"/>
      <c r="F1352" s="107"/>
      <c r="G1352" s="10"/>
      <c r="H1352" s="103"/>
      <c r="I1352" s="108">
        <f>Tableau3[[#This Row],[Stock final]]*Tableau3[[#This Row],[P.U.]]</f>
        <v>0</v>
      </c>
      <c r="J1352" s="184"/>
    </row>
    <row r="1353" spans="1:10" ht="19.350000000000001" customHeight="1">
      <c r="A1353" s="102"/>
      <c r="B1353" s="102"/>
      <c r="C1353" s="116"/>
      <c r="F1353" s="107"/>
      <c r="G1353" s="10"/>
      <c r="H1353" s="103"/>
      <c r="I1353" s="108">
        <f>Tableau3[[#This Row],[Stock final]]*Tableau3[[#This Row],[P.U.]]</f>
        <v>0</v>
      </c>
      <c r="J1353" s="184"/>
    </row>
    <row r="1354" spans="1:10" ht="19.350000000000001" customHeight="1">
      <c r="A1354" s="102"/>
      <c r="B1354" s="102"/>
      <c r="C1354" s="116"/>
      <c r="F1354" s="107"/>
      <c r="G1354" s="10"/>
      <c r="H1354" s="103"/>
      <c r="I1354" s="108">
        <f>Tableau3[[#This Row],[Stock final]]*Tableau3[[#This Row],[P.U.]]</f>
        <v>0</v>
      </c>
      <c r="J1354" s="184"/>
    </row>
    <row r="1355" spans="1:10" ht="19.350000000000001" customHeight="1">
      <c r="A1355" s="102"/>
      <c r="B1355" s="102"/>
      <c r="C1355" s="116"/>
      <c r="F1355" s="107"/>
      <c r="G1355" s="10"/>
      <c r="H1355" s="103"/>
      <c r="I1355" s="108">
        <f>Tableau3[[#This Row],[Stock final]]*Tableau3[[#This Row],[P.U.]]</f>
        <v>0</v>
      </c>
      <c r="J1355" s="184"/>
    </row>
    <row r="1356" spans="1:10" ht="19.350000000000001" customHeight="1">
      <c r="A1356" s="102"/>
      <c r="B1356" s="102"/>
      <c r="C1356" s="116"/>
      <c r="F1356" s="107"/>
      <c r="G1356" s="10"/>
      <c r="H1356" s="103"/>
      <c r="I1356" s="108">
        <f>Tableau3[[#This Row],[Stock final]]*Tableau3[[#This Row],[P.U.]]</f>
        <v>0</v>
      </c>
      <c r="J1356" s="184"/>
    </row>
    <row r="1357" spans="1:10" ht="19.350000000000001" customHeight="1">
      <c r="A1357" s="102"/>
      <c r="B1357" s="102"/>
      <c r="C1357" s="116"/>
      <c r="F1357" s="107"/>
      <c r="G1357" s="10"/>
      <c r="H1357" s="103"/>
      <c r="I1357" s="108">
        <f>Tableau3[[#This Row],[Stock final]]*Tableau3[[#This Row],[P.U.]]</f>
        <v>0</v>
      </c>
      <c r="J1357" s="184"/>
    </row>
    <row r="1358" spans="1:10" ht="19.350000000000001" customHeight="1">
      <c r="A1358" s="102"/>
      <c r="B1358" s="102"/>
      <c r="C1358" s="116"/>
      <c r="F1358" s="107"/>
      <c r="G1358" s="10"/>
      <c r="H1358" s="103"/>
      <c r="I1358" s="108">
        <f>Tableau3[[#This Row],[Stock final]]*Tableau3[[#This Row],[P.U.]]</f>
        <v>0</v>
      </c>
      <c r="J1358" s="184"/>
    </row>
    <row r="1359" spans="1:10" ht="19.350000000000001" customHeight="1">
      <c r="A1359" s="102"/>
      <c r="B1359" s="102"/>
      <c r="C1359" s="116"/>
      <c r="F1359" s="107"/>
      <c r="G1359" s="10"/>
      <c r="H1359" s="103"/>
      <c r="I1359" s="108">
        <f>Tableau3[[#This Row],[Stock final]]*Tableau3[[#This Row],[P.U.]]</f>
        <v>0</v>
      </c>
      <c r="J1359" s="184"/>
    </row>
    <row r="1360" spans="1:10" ht="19.350000000000001" customHeight="1">
      <c r="A1360" s="102"/>
      <c r="B1360" s="102"/>
      <c r="C1360" s="116"/>
      <c r="F1360" s="107"/>
      <c r="G1360" s="10"/>
      <c r="H1360" s="103"/>
      <c r="I1360" s="108">
        <f>Tableau3[[#This Row],[Stock final]]*Tableau3[[#This Row],[P.U.]]</f>
        <v>0</v>
      </c>
      <c r="J1360" s="184"/>
    </row>
    <row r="1361" spans="1:10" ht="19.350000000000001" customHeight="1">
      <c r="A1361" s="102"/>
      <c r="B1361" s="102"/>
      <c r="C1361" s="116"/>
      <c r="F1361" s="107"/>
      <c r="G1361" s="10"/>
      <c r="H1361" s="103"/>
      <c r="I1361" s="108">
        <f>Tableau3[[#This Row],[Stock final]]*Tableau3[[#This Row],[P.U.]]</f>
        <v>0</v>
      </c>
      <c r="J1361" s="184"/>
    </row>
    <row r="1362" spans="1:10" ht="19.350000000000001" customHeight="1">
      <c r="A1362" s="102" t="s">
        <v>573</v>
      </c>
      <c r="B1362" s="102" t="s">
        <v>567</v>
      </c>
      <c r="C1362" s="116">
        <v>907012</v>
      </c>
      <c r="D1362" s="126" t="s">
        <v>568</v>
      </c>
      <c r="E1362" s="113" t="s">
        <v>341</v>
      </c>
      <c r="F1362" s="107"/>
      <c r="G1362" s="10">
        <v>1</v>
      </c>
      <c r="H1362" s="103">
        <v>16.16</v>
      </c>
      <c r="I1362" s="108">
        <f>Tableau3[[#This Row],[Stock final]]*Tableau3[[#This Row],[P.U.]]</f>
        <v>16.16</v>
      </c>
      <c r="J1362" s="184"/>
    </row>
    <row r="1363" spans="1:10" ht="19.350000000000001" customHeight="1">
      <c r="A1363" s="102" t="s">
        <v>573</v>
      </c>
      <c r="B1363" s="102" t="s">
        <v>567</v>
      </c>
      <c r="C1363" s="116">
        <v>907004</v>
      </c>
      <c r="D1363" s="126" t="s">
        <v>569</v>
      </c>
      <c r="E1363" s="113" t="s">
        <v>341</v>
      </c>
      <c r="F1363" s="107"/>
      <c r="G1363" s="10"/>
      <c r="H1363" s="103">
        <v>13.13</v>
      </c>
      <c r="I1363" s="108">
        <f>Tableau3[[#This Row],[Stock final]]*Tableau3[[#This Row],[P.U.]]</f>
        <v>0</v>
      </c>
      <c r="J1363" s="184"/>
    </row>
    <row r="1364" spans="1:10" ht="19.350000000000001" customHeight="1">
      <c r="A1364" s="102" t="s">
        <v>573</v>
      </c>
      <c r="B1364" s="102" t="s">
        <v>567</v>
      </c>
      <c r="C1364" s="116">
        <v>820091</v>
      </c>
      <c r="D1364" s="126" t="s">
        <v>570</v>
      </c>
      <c r="F1364" s="107"/>
      <c r="G1364" s="10"/>
      <c r="H1364" s="103">
        <v>51.18</v>
      </c>
      <c r="I1364" s="108">
        <f>Tableau3[[#This Row],[Stock final]]*Tableau3[[#This Row],[P.U.]]</f>
        <v>0</v>
      </c>
      <c r="J1364" s="184"/>
    </row>
    <row r="1365" spans="1:10" ht="19.350000000000001" customHeight="1">
      <c r="A1365" s="102" t="s">
        <v>573</v>
      </c>
      <c r="B1365" s="102" t="s">
        <v>567</v>
      </c>
      <c r="C1365" s="116">
        <v>630017</v>
      </c>
      <c r="D1365" s="126" t="s">
        <v>571</v>
      </c>
      <c r="F1365" s="107"/>
      <c r="G1365" s="10">
        <v>2</v>
      </c>
      <c r="H1365" s="103">
        <v>49.97</v>
      </c>
      <c r="I1365" s="108">
        <f>Tableau3[[#This Row],[Stock final]]*Tableau3[[#This Row],[P.U.]]</f>
        <v>99.94</v>
      </c>
      <c r="J1365" s="184"/>
    </row>
    <row r="1366" spans="1:10" ht="19.350000000000001" customHeight="1">
      <c r="A1366" s="102" t="s">
        <v>573</v>
      </c>
      <c r="B1366" s="102" t="s">
        <v>567</v>
      </c>
      <c r="C1366" s="116">
        <v>614003</v>
      </c>
      <c r="D1366" s="126" t="s">
        <v>572</v>
      </c>
      <c r="E1366" s="113" t="s">
        <v>315</v>
      </c>
      <c r="F1366" s="107"/>
      <c r="G1366" s="10"/>
      <c r="H1366" s="103">
        <v>81</v>
      </c>
      <c r="I1366" s="108">
        <f>Tableau3[[#This Row],[Stock final]]*Tableau3[[#This Row],[P.U.]]</f>
        <v>0</v>
      </c>
      <c r="J1366" s="184"/>
    </row>
    <row r="1367" spans="1:10" ht="19.350000000000001" customHeight="1">
      <c r="A1367" s="102" t="s">
        <v>573</v>
      </c>
      <c r="B1367" s="102" t="s">
        <v>567</v>
      </c>
      <c r="C1367" s="116">
        <v>630054</v>
      </c>
      <c r="D1367" s="11" t="s">
        <v>1244</v>
      </c>
      <c r="E1367" s="113" t="s">
        <v>341</v>
      </c>
      <c r="F1367" s="107"/>
      <c r="G1367" s="10">
        <v>2</v>
      </c>
      <c r="H1367" s="103">
        <v>44.25</v>
      </c>
      <c r="I1367" s="108">
        <f>Tableau3[[#This Row],[Stock final]]*Tableau3[[#This Row],[P.U.]]</f>
        <v>88.5</v>
      </c>
      <c r="J1367" s="184"/>
    </row>
    <row r="1368" spans="1:10" ht="19.350000000000001" customHeight="1">
      <c r="A1368" s="102" t="s">
        <v>573</v>
      </c>
      <c r="B1368" s="102"/>
      <c r="C1368" s="116"/>
      <c r="F1368" s="107"/>
      <c r="G1368" s="10"/>
      <c r="H1368" s="103"/>
      <c r="I1368" s="108">
        <f>Tableau3[[#This Row],[Stock final]]*Tableau3[[#This Row],[P.U.]]</f>
        <v>0</v>
      </c>
      <c r="J1368" s="184"/>
    </row>
    <row r="1369" spans="1:10" ht="19.350000000000001" customHeight="1">
      <c r="A1369" s="102" t="s">
        <v>573</v>
      </c>
      <c r="B1369" s="102"/>
      <c r="C1369" s="116"/>
      <c r="F1369" s="107"/>
      <c r="G1369" s="10"/>
      <c r="H1369" s="103"/>
      <c r="I1369" s="108">
        <f>Tableau3[[#This Row],[Stock final]]*Tableau3[[#This Row],[P.U.]]</f>
        <v>0</v>
      </c>
      <c r="J1369" s="184"/>
    </row>
    <row r="1370" spans="1:10" ht="19.350000000000001" customHeight="1">
      <c r="A1370" s="102" t="s">
        <v>573</v>
      </c>
      <c r="B1370" s="102"/>
      <c r="C1370" s="116"/>
      <c r="F1370" s="107"/>
      <c r="G1370" s="10"/>
      <c r="H1370" s="103"/>
      <c r="I1370" s="108">
        <f>Tableau3[[#This Row],[Stock final]]*Tableau3[[#This Row],[P.U.]]</f>
        <v>0</v>
      </c>
      <c r="J1370" s="184"/>
    </row>
    <row r="1371" spans="1:10" ht="19.350000000000001" customHeight="1">
      <c r="A1371" s="102" t="s">
        <v>573</v>
      </c>
      <c r="B1371" s="102"/>
      <c r="C1371" s="116"/>
      <c r="F1371" s="107"/>
      <c r="G1371" s="10"/>
      <c r="H1371" s="103"/>
      <c r="I1371" s="108">
        <f>Tableau3[[#This Row],[Stock final]]*Tableau3[[#This Row],[P.U.]]</f>
        <v>0</v>
      </c>
      <c r="J1371" s="184"/>
    </row>
    <row r="1372" spans="1:10" ht="24">
      <c r="A1372" s="102" t="s">
        <v>591</v>
      </c>
      <c r="B1372" s="102" t="s">
        <v>574</v>
      </c>
      <c r="C1372" s="116">
        <v>50747</v>
      </c>
      <c r="D1372" s="125" t="s">
        <v>575</v>
      </c>
      <c r="E1372" s="113" t="s">
        <v>341</v>
      </c>
      <c r="F1372" s="107"/>
      <c r="G1372" s="10"/>
      <c r="H1372" s="103">
        <v>16.07</v>
      </c>
      <c r="I1372" s="108">
        <f>Tableau3[[#This Row],[Stock final]]*Tableau3[[#This Row],[P.U.]]</f>
        <v>0</v>
      </c>
      <c r="J1372" s="184"/>
    </row>
    <row r="1373" spans="1:10" ht="24">
      <c r="A1373" s="102" t="s">
        <v>591</v>
      </c>
      <c r="B1373" s="102" t="s">
        <v>574</v>
      </c>
      <c r="C1373" s="116">
        <v>50516</v>
      </c>
      <c r="D1373" s="125" t="s">
        <v>576</v>
      </c>
      <c r="E1373" s="113" t="s">
        <v>341</v>
      </c>
      <c r="F1373" s="107"/>
      <c r="G1373" s="10"/>
      <c r="H1373" s="103">
        <v>14.56</v>
      </c>
      <c r="I1373" s="108">
        <f>Tableau3[[#This Row],[Stock final]]*Tableau3[[#This Row],[P.U.]]</f>
        <v>0</v>
      </c>
      <c r="J1373" s="184"/>
    </row>
    <row r="1374" spans="1:10" ht="24">
      <c r="A1374" s="102" t="s">
        <v>591</v>
      </c>
      <c r="B1374" s="102" t="s">
        <v>574</v>
      </c>
      <c r="C1374" s="116">
        <v>50749</v>
      </c>
      <c r="D1374" s="125" t="s">
        <v>577</v>
      </c>
      <c r="E1374" s="113" t="s">
        <v>315</v>
      </c>
      <c r="F1374" s="107"/>
      <c r="G1374" s="10">
        <v>3</v>
      </c>
      <c r="H1374" s="103">
        <v>16.57</v>
      </c>
      <c r="I1374" s="108">
        <f>Tableau3[[#This Row],[Stock final]]*Tableau3[[#This Row],[P.U.]]</f>
        <v>49.71</v>
      </c>
      <c r="J1374" s="184"/>
    </row>
    <row r="1375" spans="1:10" ht="24">
      <c r="A1375" s="102" t="s">
        <v>591</v>
      </c>
      <c r="B1375" s="102" t="s">
        <v>574</v>
      </c>
      <c r="C1375" s="116">
        <v>50359</v>
      </c>
      <c r="D1375" s="125" t="s">
        <v>578</v>
      </c>
      <c r="E1375" s="113" t="s">
        <v>341</v>
      </c>
      <c r="F1375" s="107"/>
      <c r="G1375" s="10">
        <v>5</v>
      </c>
      <c r="H1375" s="103">
        <v>15.99</v>
      </c>
      <c r="I1375" s="108">
        <f>Tableau3[[#This Row],[Stock final]]*Tableau3[[#This Row],[P.U.]]</f>
        <v>79.95</v>
      </c>
      <c r="J1375" s="184"/>
    </row>
    <row r="1376" spans="1:10" ht="15.75">
      <c r="A1376" s="102" t="s">
        <v>591</v>
      </c>
      <c r="B1376" s="102" t="s">
        <v>574</v>
      </c>
      <c r="C1376" s="116">
        <v>50867</v>
      </c>
      <c r="D1376" s="125" t="s">
        <v>579</v>
      </c>
      <c r="E1376" s="113" t="s">
        <v>341</v>
      </c>
      <c r="F1376" s="107"/>
      <c r="G1376" s="10">
        <v>2</v>
      </c>
      <c r="H1376" s="103">
        <v>26.8</v>
      </c>
      <c r="I1376" s="108">
        <f>Tableau3[[#This Row],[Stock final]]*Tableau3[[#This Row],[P.U.]]</f>
        <v>53.6</v>
      </c>
      <c r="J1376" s="184"/>
    </row>
    <row r="1377" spans="1:10" ht="15.75">
      <c r="A1377" s="102" t="s">
        <v>591</v>
      </c>
      <c r="B1377" s="102" t="s">
        <v>574</v>
      </c>
      <c r="C1377" s="116">
        <v>50807</v>
      </c>
      <c r="D1377" s="125" t="s">
        <v>580</v>
      </c>
      <c r="E1377" s="113" t="s">
        <v>341</v>
      </c>
      <c r="F1377" s="107"/>
      <c r="G1377" s="10"/>
      <c r="H1377" s="103">
        <v>38.729999999999997</v>
      </c>
      <c r="I1377" s="108">
        <f>Tableau3[[#This Row],[Stock final]]*Tableau3[[#This Row],[P.U.]]</f>
        <v>0</v>
      </c>
      <c r="J1377" s="184"/>
    </row>
    <row r="1378" spans="1:10" ht="19.350000000000001" customHeight="1">
      <c r="A1378" s="102" t="s">
        <v>591</v>
      </c>
      <c r="B1378" s="102" t="s">
        <v>574</v>
      </c>
      <c r="C1378" s="116">
        <v>1927</v>
      </c>
      <c r="D1378" s="123" t="s">
        <v>581</v>
      </c>
      <c r="E1378" s="113" t="s">
        <v>14</v>
      </c>
      <c r="F1378" s="107"/>
      <c r="G1378" s="10"/>
      <c r="H1378" s="103">
        <v>52.56</v>
      </c>
      <c r="I1378" s="108">
        <f>Tableau3[[#This Row],[Stock final]]*Tableau3[[#This Row],[P.U.]]</f>
        <v>0</v>
      </c>
      <c r="J1378" s="184"/>
    </row>
    <row r="1379" spans="1:10" ht="19.350000000000001" customHeight="1">
      <c r="A1379" s="102" t="s">
        <v>591</v>
      </c>
      <c r="B1379" s="102" t="s">
        <v>574</v>
      </c>
      <c r="C1379" s="116">
        <v>1941</v>
      </c>
      <c r="D1379" s="123" t="s">
        <v>581</v>
      </c>
      <c r="E1379" s="113" t="s">
        <v>315</v>
      </c>
      <c r="F1379" s="107"/>
      <c r="G1379" s="10"/>
      <c r="H1379" s="103">
        <v>56.52</v>
      </c>
      <c r="I1379" s="108">
        <f>Tableau3[[#This Row],[Stock final]]*Tableau3[[#This Row],[P.U.]]</f>
        <v>0</v>
      </c>
      <c r="J1379" s="184"/>
    </row>
    <row r="1380" spans="1:10" ht="24">
      <c r="A1380" s="102" t="s">
        <v>591</v>
      </c>
      <c r="B1380" s="102" t="s">
        <v>574</v>
      </c>
      <c r="C1380" s="116">
        <v>11060</v>
      </c>
      <c r="D1380" s="125" t="s">
        <v>582</v>
      </c>
      <c r="E1380" s="113" t="s">
        <v>341</v>
      </c>
      <c r="F1380" s="107"/>
      <c r="G1380" s="10"/>
      <c r="H1380" s="103">
        <v>15.75</v>
      </c>
      <c r="I1380" s="108">
        <f>Tableau3[[#This Row],[Stock final]]*Tableau3[[#This Row],[P.U.]]</f>
        <v>0</v>
      </c>
      <c r="J1380" s="184"/>
    </row>
    <row r="1381" spans="1:10" ht="15.75">
      <c r="A1381" s="102" t="s">
        <v>591</v>
      </c>
      <c r="B1381" s="102" t="s">
        <v>574</v>
      </c>
      <c r="C1381" s="116">
        <v>1940</v>
      </c>
      <c r="D1381" s="126" t="s">
        <v>583</v>
      </c>
      <c r="E1381" s="113" t="s">
        <v>341</v>
      </c>
      <c r="F1381" s="107"/>
      <c r="G1381" s="10"/>
      <c r="H1381" s="103">
        <v>80.95</v>
      </c>
      <c r="I1381" s="108">
        <f>Tableau3[[#This Row],[Stock final]]*Tableau3[[#This Row],[P.U.]]</f>
        <v>0</v>
      </c>
      <c r="J1381" s="184"/>
    </row>
    <row r="1382" spans="1:10" ht="15.75">
      <c r="A1382" s="102" t="s">
        <v>591</v>
      </c>
      <c r="B1382" s="102" t="s">
        <v>574</v>
      </c>
      <c r="C1382" s="116">
        <v>4902</v>
      </c>
      <c r="D1382" s="125" t="s">
        <v>584</v>
      </c>
      <c r="E1382" s="113" t="s">
        <v>522</v>
      </c>
      <c r="F1382" s="107"/>
      <c r="G1382" s="10"/>
      <c r="H1382" s="103">
        <v>17.21</v>
      </c>
      <c r="I1382" s="108">
        <f>Tableau3[[#This Row],[Stock final]]*Tableau3[[#This Row],[P.U.]]</f>
        <v>0</v>
      </c>
      <c r="J1382" s="184"/>
    </row>
    <row r="1383" spans="1:10" ht="15.75">
      <c r="A1383" s="102" t="s">
        <v>591</v>
      </c>
      <c r="B1383" s="102" t="s">
        <v>574</v>
      </c>
      <c r="C1383" s="116">
        <v>50831</v>
      </c>
      <c r="D1383" s="125" t="s">
        <v>585</v>
      </c>
      <c r="E1383" s="113" t="s">
        <v>14</v>
      </c>
      <c r="F1383" s="107"/>
      <c r="G1383" s="10"/>
      <c r="H1383" s="103">
        <v>25.81</v>
      </c>
      <c r="I1383" s="108">
        <f>Tableau3[[#This Row],[Stock final]]*Tableau3[[#This Row],[P.U.]]</f>
        <v>0</v>
      </c>
      <c r="J1383" s="184"/>
    </row>
    <row r="1384" spans="1:10" ht="23.25" customHeight="1">
      <c r="A1384" s="102" t="s">
        <v>591</v>
      </c>
      <c r="B1384" s="102" t="s">
        <v>574</v>
      </c>
      <c r="C1384" s="116">
        <v>50874</v>
      </c>
      <c r="D1384" s="125" t="s">
        <v>586</v>
      </c>
      <c r="E1384" s="113" t="s">
        <v>14</v>
      </c>
      <c r="F1384" s="107"/>
      <c r="G1384" s="10"/>
      <c r="H1384" s="103">
        <v>62.73</v>
      </c>
      <c r="I1384" s="108">
        <f>Tableau3[[#This Row],[Stock final]]*Tableau3[[#This Row],[P.U.]]</f>
        <v>0</v>
      </c>
      <c r="J1384" s="184"/>
    </row>
    <row r="1385" spans="1:10" ht="26.25" customHeight="1">
      <c r="A1385" s="102" t="s">
        <v>591</v>
      </c>
      <c r="B1385" s="102" t="s">
        <v>574</v>
      </c>
      <c r="C1385" s="116">
        <v>50875</v>
      </c>
      <c r="D1385" s="125" t="s">
        <v>587</v>
      </c>
      <c r="E1385" s="113" t="s">
        <v>14</v>
      </c>
      <c r="F1385" s="107"/>
      <c r="G1385" s="10"/>
      <c r="H1385" s="103">
        <v>89.61</v>
      </c>
      <c r="I1385" s="108">
        <f>Tableau3[[#This Row],[Stock final]]*Tableau3[[#This Row],[P.U.]]</f>
        <v>0</v>
      </c>
      <c r="J1385" s="184"/>
    </row>
    <row r="1386" spans="1:10" ht="19.350000000000001" customHeight="1">
      <c r="A1386" s="102" t="s">
        <v>591</v>
      </c>
      <c r="B1386" s="102" t="s">
        <v>574</v>
      </c>
      <c r="C1386" s="116">
        <v>50839</v>
      </c>
      <c r="D1386" s="125" t="s">
        <v>588</v>
      </c>
      <c r="E1386" s="113" t="s">
        <v>14</v>
      </c>
      <c r="F1386" s="107"/>
      <c r="G1386" s="10">
        <v>1</v>
      </c>
      <c r="H1386" s="103">
        <v>132.82</v>
      </c>
      <c r="I1386" s="108">
        <f>Tableau3[[#This Row],[Stock final]]*Tableau3[[#This Row],[P.U.]]</f>
        <v>132.82</v>
      </c>
      <c r="J1386" s="184"/>
    </row>
    <row r="1387" spans="1:10" ht="19.350000000000001" customHeight="1">
      <c r="A1387" s="102" t="s">
        <v>591</v>
      </c>
      <c r="B1387" s="102" t="s">
        <v>574</v>
      </c>
      <c r="C1387" s="116">
        <v>11060</v>
      </c>
      <c r="D1387" s="123" t="s">
        <v>589</v>
      </c>
      <c r="F1387" s="107"/>
      <c r="G1387" s="10">
        <v>3</v>
      </c>
      <c r="H1387" s="103">
        <v>16.8</v>
      </c>
      <c r="I1387" s="108">
        <f>Tableau3[[#This Row],[Stock final]]*Tableau3[[#This Row],[P.U.]]</f>
        <v>50.400000000000006</v>
      </c>
      <c r="J1387" s="184"/>
    </row>
    <row r="1388" spans="1:10" ht="19.350000000000001" customHeight="1">
      <c r="A1388" s="102" t="s">
        <v>591</v>
      </c>
      <c r="B1388" s="102" t="s">
        <v>574</v>
      </c>
      <c r="C1388" s="116">
        <v>51406</v>
      </c>
      <c r="D1388" s="123" t="s">
        <v>590</v>
      </c>
      <c r="F1388" s="107"/>
      <c r="G1388" s="10">
        <v>1</v>
      </c>
      <c r="H1388" s="103">
        <v>13.2</v>
      </c>
      <c r="I1388" s="108">
        <f>Tableau3[[#This Row],[Stock final]]*Tableau3[[#This Row],[P.U.]]</f>
        <v>13.2</v>
      </c>
      <c r="J1388" s="184"/>
    </row>
    <row r="1389" spans="1:10" ht="19.350000000000001" customHeight="1">
      <c r="A1389" s="102" t="s">
        <v>591</v>
      </c>
      <c r="B1389" s="102"/>
      <c r="C1389" s="116"/>
      <c r="F1389" s="107"/>
      <c r="G1389" s="10"/>
      <c r="H1389" s="103"/>
      <c r="I1389" s="108">
        <f>Tableau3[[#This Row],[Stock final]]*Tableau3[[#This Row],[P.U.]]</f>
        <v>0</v>
      </c>
      <c r="J1389" s="184"/>
    </row>
    <row r="1390" spans="1:10" ht="19.350000000000001" customHeight="1">
      <c r="A1390" s="102" t="s">
        <v>611</v>
      </c>
      <c r="B1390" s="102" t="s">
        <v>592</v>
      </c>
      <c r="C1390" s="116" t="s">
        <v>593</v>
      </c>
      <c r="D1390" s="114" t="s">
        <v>594</v>
      </c>
      <c r="E1390" s="113" t="s">
        <v>315</v>
      </c>
      <c r="F1390" s="107"/>
      <c r="G1390" s="10"/>
      <c r="H1390" s="103">
        <v>63.6</v>
      </c>
      <c r="I1390" s="108">
        <f>Tableau3[[#This Row],[Stock final]]*Tableau3[[#This Row],[P.U.]]</f>
        <v>0</v>
      </c>
      <c r="J1390" s="184"/>
    </row>
    <row r="1391" spans="1:10" ht="19.350000000000001" customHeight="1">
      <c r="A1391" s="102" t="s">
        <v>611</v>
      </c>
      <c r="B1391" s="102" t="s">
        <v>592</v>
      </c>
      <c r="C1391" s="116" t="s">
        <v>595</v>
      </c>
      <c r="D1391" s="114" t="s">
        <v>596</v>
      </c>
      <c r="E1391" s="113" t="s">
        <v>341</v>
      </c>
      <c r="F1391" s="107"/>
      <c r="G1391" s="10">
        <v>14</v>
      </c>
      <c r="H1391" s="103">
        <v>37.799999999999997</v>
      </c>
      <c r="I1391" s="108">
        <f>Tableau3[[#This Row],[Stock final]]*Tableau3[[#This Row],[P.U.]]</f>
        <v>529.19999999999993</v>
      </c>
      <c r="J1391" s="184"/>
    </row>
    <row r="1392" spans="1:10" ht="19.350000000000001" customHeight="1">
      <c r="A1392" s="102" t="s">
        <v>611</v>
      </c>
      <c r="B1392" s="102" t="s">
        <v>592</v>
      </c>
      <c r="C1392" s="116" t="s">
        <v>597</v>
      </c>
      <c r="D1392" s="114" t="s">
        <v>598</v>
      </c>
      <c r="E1392" s="113" t="s">
        <v>331</v>
      </c>
      <c r="F1392" s="107"/>
      <c r="G1392" s="10">
        <v>3</v>
      </c>
      <c r="H1392" s="103">
        <v>38.4</v>
      </c>
      <c r="I1392" s="108">
        <f>Tableau3[[#This Row],[Stock final]]*Tableau3[[#This Row],[P.U.]]</f>
        <v>115.19999999999999</v>
      </c>
      <c r="J1392" s="184"/>
    </row>
    <row r="1393" spans="1:10" ht="19.350000000000001" customHeight="1">
      <c r="A1393" s="102" t="s">
        <v>611</v>
      </c>
      <c r="B1393" s="102" t="s">
        <v>592</v>
      </c>
      <c r="C1393" s="116" t="s">
        <v>599</v>
      </c>
      <c r="D1393" s="114" t="s">
        <v>596</v>
      </c>
      <c r="E1393" s="113" t="s">
        <v>600</v>
      </c>
      <c r="F1393" s="107"/>
      <c r="G1393" s="10">
        <v>6</v>
      </c>
      <c r="H1393" s="103">
        <v>43.2</v>
      </c>
      <c r="I1393" s="108">
        <f>Tableau3[[#This Row],[Stock final]]*Tableau3[[#This Row],[P.U.]]</f>
        <v>259.20000000000005</v>
      </c>
      <c r="J1393" s="184"/>
    </row>
    <row r="1394" spans="1:10" ht="19.350000000000001" customHeight="1">
      <c r="A1394" s="102" t="s">
        <v>611</v>
      </c>
      <c r="B1394" s="102" t="s">
        <v>592</v>
      </c>
      <c r="C1394" s="120" t="s">
        <v>601</v>
      </c>
      <c r="D1394" s="114" t="s">
        <v>602</v>
      </c>
      <c r="E1394" s="113" t="s">
        <v>315</v>
      </c>
      <c r="F1394" s="107"/>
      <c r="G1394" s="10">
        <v>2</v>
      </c>
      <c r="H1394" s="103">
        <v>43.2</v>
      </c>
      <c r="I1394" s="108">
        <f>Tableau3[[#This Row],[Stock final]]*Tableau3[[#This Row],[P.U.]]</f>
        <v>86.4</v>
      </c>
      <c r="J1394" s="184"/>
    </row>
    <row r="1395" spans="1:10" ht="19.350000000000001" customHeight="1">
      <c r="A1395" s="102" t="s">
        <v>611</v>
      </c>
      <c r="B1395" s="102" t="s">
        <v>592</v>
      </c>
      <c r="C1395" s="116" t="s">
        <v>603</v>
      </c>
      <c r="D1395" s="114" t="s">
        <v>598</v>
      </c>
      <c r="E1395" s="113" t="s">
        <v>315</v>
      </c>
      <c r="F1395" s="107"/>
      <c r="G1395" s="10">
        <v>2</v>
      </c>
      <c r="H1395" s="103">
        <v>38.4</v>
      </c>
      <c r="I1395" s="108">
        <f>Tableau3[[#This Row],[Stock final]]*Tableau3[[#This Row],[P.U.]]</f>
        <v>76.8</v>
      </c>
      <c r="J1395" s="184"/>
    </row>
    <row r="1396" spans="1:10" ht="19.350000000000001" customHeight="1">
      <c r="A1396" s="102" t="s">
        <v>611</v>
      </c>
      <c r="B1396" s="102"/>
      <c r="C1396" s="116"/>
      <c r="F1396" s="107"/>
      <c r="G1396" s="10"/>
      <c r="H1396" s="103"/>
      <c r="I1396" s="108">
        <f>Tableau3[[#This Row],[Stock final]]*Tableau3[[#This Row],[P.U.]]</f>
        <v>0</v>
      </c>
      <c r="J1396" s="184"/>
    </row>
    <row r="1397" spans="1:10" ht="19.350000000000001" customHeight="1">
      <c r="A1397" s="102"/>
      <c r="B1397" s="102"/>
      <c r="C1397" s="116"/>
      <c r="F1397" s="107"/>
      <c r="G1397" s="10"/>
      <c r="H1397" s="103"/>
      <c r="I1397" s="108">
        <f>Tableau3[[#This Row],[Stock final]]*Tableau3[[#This Row],[P.U.]]</f>
        <v>0</v>
      </c>
      <c r="J1397" s="184"/>
    </row>
    <row r="1398" spans="1:10" ht="19.350000000000001" customHeight="1">
      <c r="A1398" s="102"/>
      <c r="B1398" s="102"/>
      <c r="C1398" s="116"/>
      <c r="F1398" s="107"/>
      <c r="G1398" s="10"/>
      <c r="H1398" s="103"/>
      <c r="I1398" s="108">
        <f>Tableau3[[#This Row],[Stock final]]*Tableau3[[#This Row],[P.U.]]</f>
        <v>0</v>
      </c>
      <c r="J1398" s="184"/>
    </row>
    <row r="1399" spans="1:10" ht="19.350000000000001" customHeight="1">
      <c r="A1399" s="102"/>
      <c r="B1399" s="102"/>
      <c r="C1399" s="116"/>
      <c r="F1399" s="107"/>
      <c r="G1399" s="10"/>
      <c r="H1399" s="103"/>
      <c r="I1399" s="108">
        <f>Tableau3[[#This Row],[Stock final]]*Tableau3[[#This Row],[P.U.]]</f>
        <v>0</v>
      </c>
      <c r="J1399" s="184"/>
    </row>
    <row r="1400" spans="1:10" ht="19.350000000000001" customHeight="1">
      <c r="A1400" s="102" t="s">
        <v>611</v>
      </c>
      <c r="B1400" s="105" t="s">
        <v>612</v>
      </c>
      <c r="C1400" s="116">
        <v>51011</v>
      </c>
      <c r="D1400" s="126" t="s">
        <v>613</v>
      </c>
      <c r="F1400" s="107"/>
      <c r="G1400" s="10">
        <v>1</v>
      </c>
      <c r="H1400" s="103">
        <v>81.31</v>
      </c>
      <c r="I1400" s="108">
        <f>Tableau3[[#This Row],[Stock final]]*Tableau3[[#This Row],[P.U.]]</f>
        <v>81.31</v>
      </c>
      <c r="J1400" s="184"/>
    </row>
    <row r="1401" spans="1:10" ht="19.350000000000001" customHeight="1">
      <c r="A1401" s="102" t="s">
        <v>611</v>
      </c>
      <c r="B1401" s="109" t="s">
        <v>612</v>
      </c>
      <c r="C1401" s="116">
        <v>5104</v>
      </c>
      <c r="D1401" s="126" t="s">
        <v>614</v>
      </c>
      <c r="F1401" s="107"/>
      <c r="G1401" s="10">
        <v>1</v>
      </c>
      <c r="H1401" s="103">
        <v>5.7</v>
      </c>
      <c r="I1401" s="108">
        <f>Tableau3[[#This Row],[Stock final]]*Tableau3[[#This Row],[P.U.]]</f>
        <v>5.7</v>
      </c>
      <c r="J1401" s="184"/>
    </row>
    <row r="1402" spans="1:10" ht="19.350000000000001" customHeight="1">
      <c r="A1402" s="102" t="s">
        <v>604</v>
      </c>
      <c r="B1402" s="102" t="s">
        <v>606</v>
      </c>
      <c r="C1402" s="116" t="s">
        <v>607</v>
      </c>
      <c r="D1402" s="11" t="s">
        <v>610</v>
      </c>
      <c r="F1402" s="107"/>
      <c r="G1402" s="10">
        <v>4</v>
      </c>
      <c r="H1402" s="103">
        <v>61.55</v>
      </c>
      <c r="I1402" s="108">
        <f>Tableau3[[#This Row],[Stock final]]*Tableau3[[#This Row],[P.U.]]</f>
        <v>246.2</v>
      </c>
      <c r="J1402" s="184"/>
    </row>
    <row r="1403" spans="1:10" ht="19.350000000000001" customHeight="1">
      <c r="A1403" s="102" t="s">
        <v>604</v>
      </c>
      <c r="B1403" s="102" t="s">
        <v>606</v>
      </c>
      <c r="C1403" s="116" t="s">
        <v>608</v>
      </c>
      <c r="D1403" s="11" t="s">
        <v>609</v>
      </c>
      <c r="F1403" s="107"/>
      <c r="G1403" s="10"/>
      <c r="H1403" s="103">
        <v>61.55</v>
      </c>
      <c r="I1403" s="108">
        <f>Tableau3[[#This Row],[Stock final]]*Tableau3[[#This Row],[P.U.]]</f>
        <v>0</v>
      </c>
      <c r="J1403" s="184"/>
    </row>
    <row r="1404" spans="1:10" ht="19.350000000000001" customHeight="1">
      <c r="A1404" s="102" t="s">
        <v>604</v>
      </c>
      <c r="B1404" s="102"/>
      <c r="C1404" s="116"/>
      <c r="F1404" s="107"/>
      <c r="G1404" s="10"/>
      <c r="H1404" s="103"/>
      <c r="I1404" s="108">
        <f>Tableau3[[#This Row],[Stock final]]*Tableau3[[#This Row],[P.U.]]</f>
        <v>0</v>
      </c>
      <c r="J1404" s="184"/>
    </row>
    <row r="1405" spans="1:10" ht="19.350000000000001" customHeight="1">
      <c r="A1405" s="102" t="s">
        <v>605</v>
      </c>
      <c r="B1405" s="102" t="s">
        <v>615</v>
      </c>
      <c r="C1405" s="116" t="s">
        <v>616</v>
      </c>
      <c r="D1405" s="114" t="s">
        <v>617</v>
      </c>
      <c r="E1405" s="113" t="s">
        <v>341</v>
      </c>
      <c r="F1405" s="107"/>
      <c r="G1405" s="10"/>
      <c r="H1405" s="103">
        <v>63.7</v>
      </c>
      <c r="I1405" s="108">
        <f>Tableau3[[#This Row],[Stock final]]*Tableau3[[#This Row],[P.U.]]</f>
        <v>0</v>
      </c>
      <c r="J1405" s="184"/>
    </row>
    <row r="1406" spans="1:10" ht="19.350000000000001" customHeight="1">
      <c r="A1406" s="102" t="s">
        <v>605</v>
      </c>
      <c r="B1406" s="104" t="s">
        <v>615</v>
      </c>
      <c r="C1406" s="116" t="s">
        <v>618</v>
      </c>
      <c r="D1406" s="114" t="s">
        <v>619</v>
      </c>
      <c r="E1406" s="113" t="s">
        <v>331</v>
      </c>
      <c r="F1406" s="107"/>
      <c r="G1406" s="10">
        <v>3</v>
      </c>
      <c r="H1406" s="103">
        <v>28.6</v>
      </c>
      <c r="I1406" s="108">
        <f>Tableau3[[#This Row],[Stock final]]*Tableau3[[#This Row],[P.U.]]</f>
        <v>85.800000000000011</v>
      </c>
      <c r="J1406" s="184"/>
    </row>
    <row r="1407" spans="1:10" ht="19.350000000000001" customHeight="1">
      <c r="A1407" s="102" t="s">
        <v>605</v>
      </c>
      <c r="B1407" s="105" t="s">
        <v>615</v>
      </c>
      <c r="C1407" s="116" t="s">
        <v>620</v>
      </c>
      <c r="D1407" s="114" t="s">
        <v>621</v>
      </c>
      <c r="E1407" s="113" t="s">
        <v>341</v>
      </c>
      <c r="F1407" s="107"/>
      <c r="G1407" s="10"/>
      <c r="H1407" s="103">
        <v>27.3</v>
      </c>
      <c r="I1407" s="108">
        <f>Tableau3[[#This Row],[Stock final]]*Tableau3[[#This Row],[P.U.]]</f>
        <v>0</v>
      </c>
      <c r="J1407" s="184"/>
    </row>
    <row r="1408" spans="1:10" ht="19.350000000000001" customHeight="1">
      <c r="A1408" s="102" t="s">
        <v>605</v>
      </c>
      <c r="B1408" s="105" t="s">
        <v>615</v>
      </c>
      <c r="C1408" s="116" t="s">
        <v>622</v>
      </c>
      <c r="D1408" s="114" t="s">
        <v>623</v>
      </c>
      <c r="E1408" s="113" t="s">
        <v>341</v>
      </c>
      <c r="F1408" s="107"/>
      <c r="G1408" s="10"/>
      <c r="H1408" s="103">
        <v>29.58</v>
      </c>
      <c r="I1408" s="108">
        <f>Tableau3[[#This Row],[Stock final]]*Tableau3[[#This Row],[P.U.]]</f>
        <v>0</v>
      </c>
      <c r="J1408" s="184"/>
    </row>
    <row r="1409" spans="1:10" ht="19.350000000000001" customHeight="1">
      <c r="A1409" s="102" t="s">
        <v>605</v>
      </c>
      <c r="B1409" s="102" t="s">
        <v>615</v>
      </c>
      <c r="C1409" s="116" t="s">
        <v>624</v>
      </c>
      <c r="D1409" s="114" t="s">
        <v>625</v>
      </c>
      <c r="E1409" s="113" t="s">
        <v>437</v>
      </c>
      <c r="F1409" s="107"/>
      <c r="G1409" s="10">
        <v>2</v>
      </c>
      <c r="H1409" s="103">
        <v>88.65</v>
      </c>
      <c r="I1409" s="108">
        <f>Tableau3[[#This Row],[Stock final]]*Tableau3[[#This Row],[P.U.]]</f>
        <v>177.3</v>
      </c>
      <c r="J1409" s="184"/>
    </row>
    <row r="1410" spans="1:10" ht="19.350000000000001" customHeight="1">
      <c r="A1410" s="102" t="s">
        <v>605</v>
      </c>
      <c r="B1410" s="102" t="s">
        <v>615</v>
      </c>
      <c r="C1410" s="116" t="s">
        <v>626</v>
      </c>
      <c r="D1410" s="114" t="s">
        <v>627</v>
      </c>
      <c r="E1410" s="113" t="s">
        <v>315</v>
      </c>
      <c r="F1410" s="107"/>
      <c r="G1410" s="10"/>
      <c r="H1410" s="103">
        <v>5.85</v>
      </c>
      <c r="I1410" s="108">
        <f>Tableau3[[#This Row],[Stock final]]*Tableau3[[#This Row],[P.U.]]</f>
        <v>0</v>
      </c>
      <c r="J1410" s="184"/>
    </row>
    <row r="1411" spans="1:10" ht="19.350000000000001" customHeight="1">
      <c r="A1411" s="102" t="s">
        <v>605</v>
      </c>
      <c r="B1411" s="102" t="s">
        <v>615</v>
      </c>
      <c r="C1411" s="116" t="s">
        <v>628</v>
      </c>
      <c r="D1411" s="114" t="s">
        <v>627</v>
      </c>
      <c r="E1411" s="113" t="s">
        <v>331</v>
      </c>
      <c r="F1411" s="107"/>
      <c r="G1411" s="10"/>
      <c r="H1411" s="103">
        <v>5.29</v>
      </c>
      <c r="I1411" s="108">
        <f>Tableau3[[#This Row],[Stock final]]*Tableau3[[#This Row],[P.U.]]</f>
        <v>0</v>
      </c>
      <c r="J1411" s="184"/>
    </row>
    <row r="1412" spans="1:10" ht="19.350000000000001" customHeight="1">
      <c r="A1412" s="102" t="s">
        <v>605</v>
      </c>
      <c r="B1412" s="102" t="s">
        <v>615</v>
      </c>
      <c r="C1412" s="116" t="s">
        <v>629</v>
      </c>
      <c r="D1412" s="114" t="s">
        <v>630</v>
      </c>
      <c r="F1412" s="107"/>
      <c r="G1412" s="10"/>
      <c r="H1412" s="103">
        <v>48.72</v>
      </c>
      <c r="I1412" s="108">
        <f>Tableau3[[#This Row],[Stock final]]*Tableau3[[#This Row],[P.U.]]</f>
        <v>0</v>
      </c>
      <c r="J1412" s="184"/>
    </row>
    <row r="1413" spans="1:10" ht="19.350000000000001" customHeight="1">
      <c r="A1413" s="102" t="s">
        <v>605</v>
      </c>
      <c r="B1413" s="102" t="s">
        <v>615</v>
      </c>
      <c r="C1413" s="116" t="s">
        <v>631</v>
      </c>
      <c r="D1413" s="114" t="s">
        <v>632</v>
      </c>
      <c r="F1413" s="107"/>
      <c r="G1413" s="10"/>
      <c r="H1413" s="103">
        <v>57.42</v>
      </c>
      <c r="I1413" s="108">
        <f>Tableau3[[#This Row],[Stock final]]*Tableau3[[#This Row],[P.U.]]</f>
        <v>0</v>
      </c>
      <c r="J1413" s="184"/>
    </row>
    <row r="1414" spans="1:10" ht="19.350000000000001" customHeight="1">
      <c r="A1414" s="102" t="s">
        <v>605</v>
      </c>
      <c r="B1414" s="102" t="s">
        <v>615</v>
      </c>
      <c r="C1414" s="116" t="s">
        <v>633</v>
      </c>
      <c r="D1414" s="114" t="s">
        <v>634</v>
      </c>
      <c r="E1414" s="113" t="s">
        <v>535</v>
      </c>
      <c r="F1414" s="107"/>
      <c r="G1414" s="10"/>
      <c r="H1414" s="103">
        <v>142.88999999999999</v>
      </c>
      <c r="I1414" s="108">
        <f>Tableau3[[#This Row],[Stock final]]*Tableau3[[#This Row],[P.U.]]</f>
        <v>0</v>
      </c>
      <c r="J1414" s="184"/>
    </row>
    <row r="1415" spans="1:10" ht="19.350000000000001" customHeight="1">
      <c r="A1415" s="102" t="s">
        <v>605</v>
      </c>
      <c r="B1415" s="102" t="s">
        <v>615</v>
      </c>
      <c r="C1415" s="116" t="s">
        <v>635</v>
      </c>
      <c r="D1415" s="123" t="s">
        <v>636</v>
      </c>
      <c r="E1415" s="113" t="s">
        <v>437</v>
      </c>
      <c r="F1415" s="107"/>
      <c r="G1415" s="10"/>
      <c r="H1415" s="103">
        <v>111.46</v>
      </c>
      <c r="I1415" s="108">
        <f>Tableau3[[#This Row],[Stock final]]*Tableau3[[#This Row],[P.U.]]</f>
        <v>0</v>
      </c>
      <c r="J1415" s="184"/>
    </row>
    <row r="1416" spans="1:10" ht="19.350000000000001" customHeight="1">
      <c r="A1416" s="102" t="s">
        <v>605</v>
      </c>
      <c r="B1416" s="102" t="s">
        <v>615</v>
      </c>
      <c r="C1416" s="116" t="s">
        <v>637</v>
      </c>
      <c r="D1416" s="114" t="s">
        <v>638</v>
      </c>
      <c r="E1416" s="113" t="s">
        <v>437</v>
      </c>
      <c r="F1416" s="107"/>
      <c r="G1416" s="10">
        <v>1</v>
      </c>
      <c r="H1416" s="103">
        <v>159.35</v>
      </c>
      <c r="I1416" s="108">
        <f>Tableau3[[#This Row],[Stock final]]*Tableau3[[#This Row],[P.U.]]</f>
        <v>159.35</v>
      </c>
      <c r="J1416" s="184"/>
    </row>
    <row r="1417" spans="1:10" ht="19.350000000000001" customHeight="1">
      <c r="A1417" s="102" t="s">
        <v>605</v>
      </c>
      <c r="B1417" s="102"/>
      <c r="C1417" s="116"/>
      <c r="F1417" s="107"/>
      <c r="G1417" s="10"/>
      <c r="H1417" s="103"/>
      <c r="I1417" s="108">
        <f>Tableau3[[#This Row],[Stock final]]*Tableau3[[#This Row],[P.U.]]</f>
        <v>0</v>
      </c>
      <c r="J1417" s="184"/>
    </row>
    <row r="1418" spans="1:10" ht="19.350000000000001" customHeight="1">
      <c r="A1418" s="102" t="s">
        <v>605</v>
      </c>
      <c r="B1418" s="102"/>
      <c r="C1418" s="116"/>
      <c r="F1418" s="107"/>
      <c r="G1418" s="10"/>
      <c r="H1418" s="103"/>
      <c r="I1418" s="108">
        <f>Tableau3[[#This Row],[Stock final]]*Tableau3[[#This Row],[P.U.]]</f>
        <v>0</v>
      </c>
      <c r="J1418" s="184"/>
    </row>
    <row r="1419" spans="1:10" ht="19.350000000000001" customHeight="1">
      <c r="A1419" s="102" t="s">
        <v>639</v>
      </c>
      <c r="B1419" s="105" t="s">
        <v>640</v>
      </c>
      <c r="C1419" s="116">
        <v>90244602</v>
      </c>
      <c r="D1419" s="114" t="s">
        <v>641</v>
      </c>
      <c r="F1419" s="107"/>
      <c r="G1419" s="10"/>
      <c r="H1419" s="103"/>
      <c r="I1419" s="108">
        <f>Tableau3[[#This Row],[Stock final]]*Tableau3[[#This Row],[P.U.]]</f>
        <v>0</v>
      </c>
      <c r="J1419" s="184"/>
    </row>
    <row r="1420" spans="1:10" ht="19.350000000000001" customHeight="1">
      <c r="A1420" s="102" t="s">
        <v>639</v>
      </c>
      <c r="B1420" s="102" t="s">
        <v>640</v>
      </c>
      <c r="C1420" s="116" t="s">
        <v>642</v>
      </c>
      <c r="D1420" s="114" t="s">
        <v>643</v>
      </c>
      <c r="E1420" s="113" t="s">
        <v>522</v>
      </c>
      <c r="F1420" s="107"/>
      <c r="G1420" s="10"/>
      <c r="H1420" s="103"/>
      <c r="I1420" s="108">
        <f>Tableau3[[#This Row],[Stock final]]*Tableau3[[#This Row],[P.U.]]</f>
        <v>0</v>
      </c>
      <c r="J1420" s="184"/>
    </row>
    <row r="1421" spans="1:10" ht="19.350000000000001" customHeight="1">
      <c r="A1421" s="102" t="s">
        <v>639</v>
      </c>
      <c r="B1421" s="102" t="s">
        <v>640</v>
      </c>
      <c r="C1421" s="116" t="s">
        <v>644</v>
      </c>
      <c r="D1421" s="114" t="s">
        <v>645</v>
      </c>
      <c r="E1421" s="113" t="s">
        <v>522</v>
      </c>
      <c r="F1421" s="107"/>
      <c r="G1421" s="10"/>
      <c r="H1421" s="103"/>
      <c r="I1421" s="108">
        <f>Tableau3[[#This Row],[Stock final]]*Tableau3[[#This Row],[P.U.]]</f>
        <v>0</v>
      </c>
      <c r="J1421" s="184"/>
    </row>
    <row r="1422" spans="1:10" ht="19.350000000000001" customHeight="1">
      <c r="A1422" s="102" t="s">
        <v>639</v>
      </c>
      <c r="B1422" s="102" t="s">
        <v>640</v>
      </c>
      <c r="C1422" s="116" t="s">
        <v>646</v>
      </c>
      <c r="D1422" s="114" t="s">
        <v>647</v>
      </c>
      <c r="E1422" s="113" t="s">
        <v>522</v>
      </c>
      <c r="F1422" s="107"/>
      <c r="G1422" s="10"/>
      <c r="H1422" s="103"/>
      <c r="I1422" s="108">
        <f>Tableau3[[#This Row],[Stock final]]*Tableau3[[#This Row],[P.U.]]</f>
        <v>0</v>
      </c>
      <c r="J1422" s="184"/>
    </row>
    <row r="1423" spans="1:10" ht="19.350000000000001" customHeight="1">
      <c r="A1423" s="102" t="s">
        <v>639</v>
      </c>
      <c r="B1423" s="102" t="s">
        <v>640</v>
      </c>
      <c r="C1423" s="116" t="s">
        <v>648</v>
      </c>
      <c r="D1423" s="114" t="s">
        <v>649</v>
      </c>
      <c r="E1423" s="113" t="s">
        <v>522</v>
      </c>
      <c r="F1423" s="107"/>
      <c r="G1423" s="10"/>
      <c r="H1423" s="103"/>
      <c r="I1423" s="108">
        <f>Tableau3[[#This Row],[Stock final]]*Tableau3[[#This Row],[P.U.]]</f>
        <v>0</v>
      </c>
      <c r="J1423" s="184"/>
    </row>
    <row r="1424" spans="1:10" ht="19.350000000000001" customHeight="1">
      <c r="A1424" s="102" t="s">
        <v>639</v>
      </c>
      <c r="B1424" s="102" t="s">
        <v>640</v>
      </c>
      <c r="C1424" s="116" t="s">
        <v>650</v>
      </c>
      <c r="D1424" s="114" t="s">
        <v>651</v>
      </c>
      <c r="E1424" s="113" t="s">
        <v>341</v>
      </c>
      <c r="F1424" s="107"/>
      <c r="G1424" s="10"/>
      <c r="H1424" s="103"/>
      <c r="I1424" s="108">
        <f>Tableau3[[#This Row],[Stock final]]*Tableau3[[#This Row],[P.U.]]</f>
        <v>0</v>
      </c>
      <c r="J1424" s="184"/>
    </row>
    <row r="1425" spans="1:10" ht="19.350000000000001" customHeight="1">
      <c r="A1425" s="102"/>
      <c r="B1425" s="102"/>
      <c r="C1425" s="116"/>
      <c r="F1425" s="107"/>
      <c r="G1425" s="10"/>
      <c r="H1425" s="103"/>
      <c r="I1425" s="108">
        <f>Tableau3[[#This Row],[Stock final]]*Tableau3[[#This Row],[P.U.]]</f>
        <v>0</v>
      </c>
      <c r="J1425" s="184"/>
    </row>
    <row r="1426" spans="1:10" ht="19.350000000000001" customHeight="1">
      <c r="A1426" s="102"/>
      <c r="B1426" s="102"/>
      <c r="C1426" s="116"/>
      <c r="F1426" s="107"/>
      <c r="G1426" s="10"/>
      <c r="H1426" s="103"/>
      <c r="I1426" s="108">
        <f>Tableau3[[#This Row],[Stock final]]*Tableau3[[#This Row],[P.U.]]</f>
        <v>0</v>
      </c>
      <c r="J1426" s="184"/>
    </row>
    <row r="1427" spans="1:10" ht="19.350000000000001" customHeight="1">
      <c r="A1427" s="102"/>
      <c r="B1427" s="102"/>
      <c r="C1427" s="116"/>
      <c r="F1427" s="107"/>
      <c r="G1427" s="10"/>
      <c r="H1427" s="103"/>
      <c r="I1427" s="108">
        <f>Tableau3[[#This Row],[Stock final]]*Tableau3[[#This Row],[P.U.]]</f>
        <v>0</v>
      </c>
      <c r="J1427" s="184"/>
    </row>
    <row r="1428" spans="1:10" ht="19.350000000000001" customHeight="1">
      <c r="A1428" s="102"/>
      <c r="B1428" s="102"/>
      <c r="C1428" s="116"/>
      <c r="F1428" s="107"/>
      <c r="G1428" s="10"/>
      <c r="H1428" s="103"/>
      <c r="I1428" s="108">
        <f>Tableau3[[#This Row],[Stock final]]*Tableau3[[#This Row],[P.U.]]</f>
        <v>0</v>
      </c>
      <c r="J1428" s="184"/>
    </row>
    <row r="1429" spans="1:10" ht="19.350000000000001" customHeight="1">
      <c r="A1429" s="102"/>
      <c r="B1429" s="102"/>
      <c r="C1429" s="116"/>
      <c r="F1429" s="107"/>
      <c r="G1429" s="10"/>
      <c r="H1429" s="103"/>
      <c r="I1429" s="108">
        <f>Tableau3[[#This Row],[Stock final]]*Tableau3[[#This Row],[P.U.]]</f>
        <v>0</v>
      </c>
      <c r="J1429" s="184"/>
    </row>
    <row r="1430" spans="1:10" ht="19.350000000000001" customHeight="1">
      <c r="A1430" s="102"/>
      <c r="B1430" s="102"/>
      <c r="C1430" s="116"/>
      <c r="F1430" s="107"/>
      <c r="G1430" s="10"/>
      <c r="H1430" s="103"/>
      <c r="I1430" s="108">
        <f>Tableau3[[#This Row],[Stock final]]*Tableau3[[#This Row],[P.U.]]</f>
        <v>0</v>
      </c>
      <c r="J1430" s="184"/>
    </row>
    <row r="1431" spans="1:10" ht="19.350000000000001" customHeight="1">
      <c r="A1431" s="102"/>
      <c r="B1431" s="102"/>
      <c r="C1431" s="116"/>
      <c r="F1431" s="107"/>
      <c r="G1431" s="10"/>
      <c r="H1431" s="103"/>
      <c r="I1431" s="108">
        <f>Tableau3[[#This Row],[Stock final]]*Tableau3[[#This Row],[P.U.]]</f>
        <v>0</v>
      </c>
      <c r="J1431" s="184"/>
    </row>
    <row r="1432" spans="1:10" ht="19.350000000000001" customHeight="1">
      <c r="A1432" s="102"/>
      <c r="B1432" s="102"/>
      <c r="C1432" s="116"/>
      <c r="F1432" s="107"/>
      <c r="G1432" s="10"/>
      <c r="H1432" s="103"/>
      <c r="I1432" s="108">
        <f>Tableau3[[#This Row],[Stock final]]*Tableau3[[#This Row],[P.U.]]</f>
        <v>0</v>
      </c>
      <c r="J1432" s="184"/>
    </row>
    <row r="1433" spans="1:10" ht="19.350000000000001" customHeight="1">
      <c r="A1433" s="102"/>
      <c r="B1433" s="102"/>
      <c r="C1433" s="116"/>
      <c r="F1433" s="107"/>
      <c r="G1433" s="10"/>
      <c r="H1433" s="103"/>
      <c r="I1433" s="108">
        <f>Tableau3[[#This Row],[Stock final]]*Tableau3[[#This Row],[P.U.]]</f>
        <v>0</v>
      </c>
      <c r="J1433" s="184"/>
    </row>
    <row r="1434" spans="1:10" ht="19.350000000000001" customHeight="1">
      <c r="A1434" s="102"/>
      <c r="B1434" s="102"/>
      <c r="C1434" s="116"/>
      <c r="F1434" s="107"/>
      <c r="G1434" s="10"/>
      <c r="H1434" s="103"/>
      <c r="I1434" s="108">
        <f>Tableau3[[#This Row],[Stock final]]*Tableau3[[#This Row],[P.U.]]</f>
        <v>0</v>
      </c>
      <c r="J1434" s="184"/>
    </row>
    <row r="1435" spans="1:10" ht="19.350000000000001" customHeight="1">
      <c r="A1435" s="102"/>
      <c r="B1435" s="102"/>
      <c r="C1435" s="116"/>
      <c r="F1435" s="107"/>
      <c r="G1435" s="10"/>
      <c r="H1435" s="103"/>
      <c r="I1435" s="108">
        <f>Tableau3[[#This Row],[Stock final]]*Tableau3[[#This Row],[P.U.]]</f>
        <v>0</v>
      </c>
      <c r="J1435" s="184"/>
    </row>
    <row r="1436" spans="1:10" ht="19.350000000000001" customHeight="1">
      <c r="A1436" s="102"/>
      <c r="B1436" s="102"/>
      <c r="C1436" s="116"/>
      <c r="F1436" s="107"/>
      <c r="G1436" s="10"/>
      <c r="H1436" s="103"/>
      <c r="I1436" s="108">
        <f>Tableau3[[#This Row],[Stock final]]*Tableau3[[#This Row],[P.U.]]</f>
        <v>0</v>
      </c>
      <c r="J1436" s="184"/>
    </row>
    <row r="1437" spans="1:10" ht="19.350000000000001" customHeight="1">
      <c r="A1437" s="102"/>
      <c r="B1437" s="102"/>
      <c r="C1437" s="116"/>
      <c r="F1437" s="107"/>
      <c r="G1437" s="10"/>
      <c r="H1437" s="103"/>
      <c r="I1437" s="108">
        <f>Tableau3[[#This Row],[Stock final]]*Tableau3[[#This Row],[P.U.]]</f>
        <v>0</v>
      </c>
      <c r="J1437" s="184"/>
    </row>
    <row r="1438" spans="1:10" ht="19.350000000000001" customHeight="1">
      <c r="A1438" s="102"/>
      <c r="B1438" s="102"/>
      <c r="C1438" s="116"/>
      <c r="F1438" s="107"/>
      <c r="G1438" s="10"/>
      <c r="H1438" s="103"/>
      <c r="I1438" s="108">
        <f>Tableau3[[#This Row],[Stock final]]*Tableau3[[#This Row],[P.U.]]</f>
        <v>0</v>
      </c>
      <c r="J1438" s="184"/>
    </row>
    <row r="1439" spans="1:10" ht="19.350000000000001" customHeight="1">
      <c r="A1439" s="102"/>
      <c r="B1439" s="102"/>
      <c r="C1439" s="116"/>
      <c r="F1439" s="107"/>
      <c r="G1439" s="10"/>
      <c r="H1439" s="103"/>
      <c r="I1439" s="108">
        <f>Tableau3[[#This Row],[Stock final]]*Tableau3[[#This Row],[P.U.]]</f>
        <v>0</v>
      </c>
      <c r="J1439" s="184"/>
    </row>
    <row r="1440" spans="1:10" ht="19.350000000000001" customHeight="1">
      <c r="A1440" s="102"/>
      <c r="B1440" s="102"/>
      <c r="C1440" s="116"/>
      <c r="F1440" s="107"/>
      <c r="G1440" s="10"/>
      <c r="H1440" s="103"/>
      <c r="I1440" s="108">
        <f>Tableau3[[#This Row],[Stock final]]*Tableau3[[#This Row],[P.U.]]</f>
        <v>0</v>
      </c>
      <c r="J1440" s="184"/>
    </row>
    <row r="1441" spans="1:10" ht="19.350000000000001" customHeight="1">
      <c r="A1441" s="102"/>
      <c r="B1441" s="102"/>
      <c r="C1441" s="116"/>
      <c r="F1441" s="107"/>
      <c r="G1441" s="10"/>
      <c r="H1441" s="103"/>
      <c r="I1441" s="108">
        <f>Tableau3[[#This Row],[Stock final]]*Tableau3[[#This Row],[P.U.]]</f>
        <v>0</v>
      </c>
      <c r="J1441" s="184"/>
    </row>
    <row r="1442" spans="1:10" ht="19.350000000000001" customHeight="1">
      <c r="A1442" s="102"/>
      <c r="B1442" s="102"/>
      <c r="C1442" s="116"/>
      <c r="F1442" s="107"/>
      <c r="G1442" s="10"/>
      <c r="H1442" s="103"/>
      <c r="I1442" s="108">
        <f>Tableau3[[#This Row],[Stock final]]*Tableau3[[#This Row],[P.U.]]</f>
        <v>0</v>
      </c>
      <c r="J1442" s="184"/>
    </row>
    <row r="1443" spans="1:10" ht="19.350000000000001" customHeight="1">
      <c r="A1443" s="102" t="s">
        <v>652</v>
      </c>
      <c r="B1443" s="102"/>
      <c r="C1443" s="116"/>
      <c r="F1443" s="107"/>
      <c r="G1443" s="10"/>
      <c r="H1443" s="103"/>
      <c r="I1443" s="108">
        <f>Tableau3[[#This Row],[Stock final]]*Tableau3[[#This Row],[P.U.]]</f>
        <v>0</v>
      </c>
      <c r="J1443" s="184"/>
    </row>
    <row r="1444" spans="1:10" ht="19.350000000000001" customHeight="1">
      <c r="A1444" s="102" t="s">
        <v>652</v>
      </c>
      <c r="B1444" s="102"/>
      <c r="C1444" s="116"/>
      <c r="F1444" s="107"/>
      <c r="G1444" s="10"/>
      <c r="H1444" s="103"/>
      <c r="I1444" s="108">
        <f>Tableau3[[#This Row],[Stock final]]*Tableau3[[#This Row],[P.U.]]</f>
        <v>0</v>
      </c>
      <c r="J1444" s="184"/>
    </row>
    <row r="1445" spans="1:10" ht="19.350000000000001" customHeight="1">
      <c r="A1445" s="102" t="s">
        <v>652</v>
      </c>
      <c r="B1445" s="102"/>
      <c r="C1445" s="116"/>
      <c r="F1445" s="107"/>
      <c r="G1445" s="10"/>
      <c r="H1445" s="103"/>
      <c r="I1445" s="108">
        <f>Tableau3[[#This Row],[Stock final]]*Tableau3[[#This Row],[P.U.]]</f>
        <v>0</v>
      </c>
      <c r="J1445" s="184"/>
    </row>
    <row r="1446" spans="1:10" ht="19.350000000000001" customHeight="1">
      <c r="A1446" s="102" t="s">
        <v>652</v>
      </c>
      <c r="B1446" s="102"/>
      <c r="C1446" s="116"/>
      <c r="F1446" s="107"/>
      <c r="G1446" s="10"/>
      <c r="H1446" s="103"/>
      <c r="I1446" s="108">
        <f>Tableau3[[#This Row],[Stock final]]*Tableau3[[#This Row],[P.U.]]</f>
        <v>0</v>
      </c>
      <c r="J1446" s="184"/>
    </row>
    <row r="1447" spans="1:10" ht="19.350000000000001" customHeight="1">
      <c r="A1447" s="102" t="s">
        <v>652</v>
      </c>
      <c r="B1447" s="102"/>
      <c r="C1447" s="116"/>
      <c r="F1447" s="107"/>
      <c r="G1447" s="10"/>
      <c r="H1447" s="103"/>
      <c r="I1447" s="108">
        <f>Tableau3[[#This Row],[Stock final]]*Tableau3[[#This Row],[P.U.]]</f>
        <v>0</v>
      </c>
      <c r="J1447" s="184"/>
    </row>
    <row r="1448" spans="1:10" ht="19.350000000000001" customHeight="1">
      <c r="A1448" s="102" t="s">
        <v>652</v>
      </c>
      <c r="B1448" s="102"/>
      <c r="C1448" s="116"/>
      <c r="F1448" s="107"/>
      <c r="G1448" s="10"/>
      <c r="H1448" s="103"/>
      <c r="I1448" s="108">
        <f>Tableau3[[#This Row],[Stock final]]*Tableau3[[#This Row],[P.U.]]</f>
        <v>0</v>
      </c>
      <c r="J1448" s="184"/>
    </row>
    <row r="1449" spans="1:10" ht="19.350000000000001" customHeight="1">
      <c r="A1449" s="102" t="s">
        <v>652</v>
      </c>
      <c r="B1449" s="102"/>
      <c r="C1449" s="116"/>
      <c r="F1449" s="107"/>
      <c r="G1449" s="10"/>
      <c r="H1449" s="103"/>
      <c r="I1449" s="108">
        <f>Tableau3[[#This Row],[Stock final]]*Tableau3[[#This Row],[P.U.]]</f>
        <v>0</v>
      </c>
      <c r="J1449" s="184"/>
    </row>
    <row r="1450" spans="1:10" ht="19.350000000000001" customHeight="1">
      <c r="A1450" s="102" t="s">
        <v>652</v>
      </c>
      <c r="B1450" s="102"/>
      <c r="C1450" s="116"/>
      <c r="F1450" s="107"/>
      <c r="G1450" s="10"/>
      <c r="H1450" s="103"/>
      <c r="I1450" s="108">
        <f>Tableau3[[#This Row],[Stock final]]*Tableau3[[#This Row],[P.U.]]</f>
        <v>0</v>
      </c>
      <c r="J1450" s="184"/>
    </row>
    <row r="1451" spans="1:10" ht="19.350000000000001" customHeight="1">
      <c r="A1451" s="102" t="s">
        <v>652</v>
      </c>
      <c r="B1451" s="102"/>
      <c r="C1451" s="116"/>
      <c r="F1451" s="107"/>
      <c r="G1451" s="10"/>
      <c r="H1451" s="103"/>
      <c r="I1451" s="108">
        <f>Tableau3[[#This Row],[Stock final]]*Tableau3[[#This Row],[P.U.]]</f>
        <v>0</v>
      </c>
      <c r="J1451" s="184"/>
    </row>
    <row r="1452" spans="1:10" ht="19.350000000000001" customHeight="1">
      <c r="A1452" s="102" t="s">
        <v>652</v>
      </c>
      <c r="B1452" s="102"/>
      <c r="C1452" s="116"/>
      <c r="F1452" s="107"/>
      <c r="G1452" s="10"/>
      <c r="H1452" s="103"/>
      <c r="I1452" s="108">
        <f>Tableau3[[#This Row],[Stock final]]*Tableau3[[#This Row],[P.U.]]</f>
        <v>0</v>
      </c>
      <c r="J1452" s="184"/>
    </row>
    <row r="1453" spans="1:10" ht="19.350000000000001" customHeight="1">
      <c r="A1453" s="102" t="s">
        <v>652</v>
      </c>
      <c r="B1453" s="102"/>
      <c r="C1453" s="116"/>
      <c r="F1453" s="107"/>
      <c r="G1453" s="10"/>
      <c r="H1453" s="103"/>
      <c r="I1453" s="108">
        <f>Tableau3[[#This Row],[Stock final]]*Tableau3[[#This Row],[P.U.]]</f>
        <v>0</v>
      </c>
      <c r="J1453" s="184"/>
    </row>
    <row r="1454" spans="1:10" ht="19.350000000000001" customHeight="1">
      <c r="A1454" s="102" t="s">
        <v>652</v>
      </c>
      <c r="B1454" s="102"/>
      <c r="C1454" s="116"/>
      <c r="F1454" s="107"/>
      <c r="G1454" s="10"/>
      <c r="H1454" s="103"/>
      <c r="I1454" s="108">
        <f>Tableau3[[#This Row],[Stock final]]*Tableau3[[#This Row],[P.U.]]</f>
        <v>0</v>
      </c>
      <c r="J1454" s="184"/>
    </row>
    <row r="1455" spans="1:10" ht="19.350000000000001" customHeight="1">
      <c r="A1455" s="102" t="s">
        <v>652</v>
      </c>
      <c r="B1455" s="102"/>
      <c r="C1455" s="116"/>
      <c r="F1455" s="107"/>
      <c r="G1455" s="10"/>
      <c r="H1455" s="103"/>
      <c r="I1455" s="108">
        <f>Tableau3[[#This Row],[Stock final]]*Tableau3[[#This Row],[P.U.]]</f>
        <v>0</v>
      </c>
      <c r="J1455" s="184"/>
    </row>
    <row r="1456" spans="1:10" ht="19.350000000000001" customHeight="1">
      <c r="A1456" s="102" t="s">
        <v>652</v>
      </c>
      <c r="B1456" s="102"/>
      <c r="C1456" s="116"/>
      <c r="F1456" s="107"/>
      <c r="G1456" s="10"/>
      <c r="H1456" s="103"/>
      <c r="I1456" s="108">
        <f>Tableau3[[#This Row],[Stock final]]*Tableau3[[#This Row],[P.U.]]</f>
        <v>0</v>
      </c>
      <c r="J1456" s="184"/>
    </row>
    <row r="1457" spans="1:10" ht="19.350000000000001" customHeight="1">
      <c r="A1457" s="102" t="s">
        <v>652</v>
      </c>
      <c r="B1457" s="102"/>
      <c r="C1457" s="116"/>
      <c r="F1457" s="107"/>
      <c r="G1457" s="10"/>
      <c r="H1457" s="103"/>
      <c r="I1457" s="108">
        <f>Tableau3[[#This Row],[Stock final]]*Tableau3[[#This Row],[P.U.]]</f>
        <v>0</v>
      </c>
      <c r="J1457" s="184"/>
    </row>
    <row r="1458" spans="1:10" ht="19.350000000000001" customHeight="1">
      <c r="A1458" s="102" t="s">
        <v>652</v>
      </c>
      <c r="B1458" s="102"/>
      <c r="C1458" s="116"/>
      <c r="F1458" s="107"/>
      <c r="G1458" s="10"/>
      <c r="H1458" s="103"/>
      <c r="I1458" s="108">
        <f>Tableau3[[#This Row],[Stock final]]*Tableau3[[#This Row],[P.U.]]</f>
        <v>0</v>
      </c>
      <c r="J1458" s="184"/>
    </row>
    <row r="1459" spans="1:10" ht="19.350000000000001" customHeight="1">
      <c r="A1459" s="102" t="s">
        <v>652</v>
      </c>
      <c r="B1459" s="102"/>
      <c r="C1459" s="116"/>
      <c r="F1459" s="107"/>
      <c r="G1459" s="10"/>
      <c r="H1459" s="103"/>
      <c r="I1459" s="108">
        <f>Tableau3[[#This Row],[Stock final]]*Tableau3[[#This Row],[P.U.]]</f>
        <v>0</v>
      </c>
      <c r="J1459" s="184"/>
    </row>
    <row r="1460" spans="1:10" ht="19.350000000000001" customHeight="1">
      <c r="A1460" s="102" t="s">
        <v>652</v>
      </c>
      <c r="B1460" s="102"/>
      <c r="C1460" s="116"/>
      <c r="F1460" s="107"/>
      <c r="G1460" s="10"/>
      <c r="H1460" s="103"/>
      <c r="I1460" s="108">
        <f>Tableau3[[#This Row],[Stock final]]*Tableau3[[#This Row],[P.U.]]</f>
        <v>0</v>
      </c>
      <c r="J1460" s="184"/>
    </row>
    <row r="1461" spans="1:10" ht="19.350000000000001" customHeight="1">
      <c r="A1461" s="102" t="s">
        <v>652</v>
      </c>
      <c r="B1461" s="102"/>
      <c r="C1461" s="116"/>
      <c r="F1461" s="107"/>
      <c r="G1461" s="10"/>
      <c r="H1461" s="103"/>
      <c r="I1461" s="108">
        <f>Tableau3[[#This Row],[Stock final]]*Tableau3[[#This Row],[P.U.]]</f>
        <v>0</v>
      </c>
      <c r="J1461" s="184"/>
    </row>
    <row r="1462" spans="1:10" ht="19.350000000000001" customHeight="1">
      <c r="A1462" s="102" t="s">
        <v>652</v>
      </c>
      <c r="B1462" s="102"/>
      <c r="C1462" s="116"/>
      <c r="F1462" s="107"/>
      <c r="G1462" s="10"/>
      <c r="H1462" s="103"/>
      <c r="I1462" s="108">
        <f>Tableau3[[#This Row],[Stock final]]*Tableau3[[#This Row],[P.U.]]</f>
        <v>0</v>
      </c>
      <c r="J1462" s="184"/>
    </row>
    <row r="1463" spans="1:10" ht="19.350000000000001" customHeight="1">
      <c r="A1463" s="102" t="s">
        <v>652</v>
      </c>
      <c r="B1463" s="102"/>
      <c r="C1463" s="116"/>
      <c r="F1463" s="107"/>
      <c r="G1463" s="10"/>
      <c r="H1463" s="103"/>
      <c r="I1463" s="108">
        <f>Tableau3[[#This Row],[Stock final]]*Tableau3[[#This Row],[P.U.]]</f>
        <v>0</v>
      </c>
      <c r="J1463" s="184"/>
    </row>
    <row r="1464" spans="1:10" ht="19.350000000000001" customHeight="1">
      <c r="A1464" s="102" t="s">
        <v>652</v>
      </c>
      <c r="B1464" s="102"/>
      <c r="C1464" s="116"/>
      <c r="F1464" s="107"/>
      <c r="G1464" s="10"/>
      <c r="H1464" s="103"/>
      <c r="I1464" s="108">
        <f>Tableau3[[#This Row],[Stock final]]*Tableau3[[#This Row],[P.U.]]</f>
        <v>0</v>
      </c>
      <c r="J1464" s="184"/>
    </row>
    <row r="1465" spans="1:10" ht="19.350000000000001" customHeight="1">
      <c r="A1465" s="102" t="s">
        <v>652</v>
      </c>
      <c r="B1465" s="102"/>
      <c r="C1465" s="116"/>
      <c r="F1465" s="107"/>
      <c r="G1465" s="10"/>
      <c r="H1465" s="103"/>
      <c r="I1465" s="108">
        <f>Tableau3[[#This Row],[Stock final]]*Tableau3[[#This Row],[P.U.]]</f>
        <v>0</v>
      </c>
      <c r="J1465" s="184"/>
    </row>
    <row r="1466" spans="1:10" ht="19.350000000000001" customHeight="1">
      <c r="A1466" s="102" t="s">
        <v>652</v>
      </c>
      <c r="B1466" s="102"/>
      <c r="C1466" s="116"/>
      <c r="F1466" s="107"/>
      <c r="G1466" s="10"/>
      <c r="H1466" s="103"/>
      <c r="I1466" s="108">
        <f>Tableau3[[#This Row],[Stock final]]*Tableau3[[#This Row],[P.U.]]</f>
        <v>0</v>
      </c>
      <c r="J1466" s="184"/>
    </row>
    <row r="1467" spans="1:10" ht="19.350000000000001" customHeight="1">
      <c r="A1467" s="102"/>
      <c r="B1467" s="102"/>
      <c r="C1467" s="116"/>
      <c r="F1467" s="107"/>
      <c r="G1467" s="10"/>
      <c r="H1467" s="103"/>
      <c r="I1467" s="108">
        <f>Tableau3[[#This Row],[Stock final]]*Tableau3[[#This Row],[P.U.]]</f>
        <v>0</v>
      </c>
      <c r="J1467" s="184"/>
    </row>
    <row r="1468" spans="1:10" ht="19.350000000000001" customHeight="1">
      <c r="A1468" s="102"/>
      <c r="B1468" s="102"/>
      <c r="C1468" s="116"/>
      <c r="F1468" s="107"/>
      <c r="G1468" s="10"/>
      <c r="H1468" s="103"/>
      <c r="I1468" s="108">
        <f>Tableau3[[#This Row],[Stock final]]*Tableau3[[#This Row],[P.U.]]</f>
        <v>0</v>
      </c>
      <c r="J1468" s="184"/>
    </row>
    <row r="1469" spans="1:10" ht="19.350000000000001" customHeight="1">
      <c r="A1469" s="102"/>
      <c r="B1469" s="102"/>
      <c r="C1469" s="116"/>
      <c r="F1469" s="107"/>
      <c r="G1469" s="10"/>
      <c r="H1469" s="103"/>
      <c r="I1469" s="108">
        <f>Tableau3[[#This Row],[Stock final]]*Tableau3[[#This Row],[P.U.]]</f>
        <v>0</v>
      </c>
      <c r="J1469" s="184"/>
    </row>
    <row r="1470" spans="1:10" ht="19.350000000000001" customHeight="1">
      <c r="A1470" s="102"/>
      <c r="B1470" s="102"/>
      <c r="C1470" s="116"/>
      <c r="F1470" s="107"/>
      <c r="G1470" s="10"/>
      <c r="H1470" s="103"/>
      <c r="I1470" s="108">
        <f>Tableau3[[#This Row],[Stock final]]*Tableau3[[#This Row],[P.U.]]</f>
        <v>0</v>
      </c>
      <c r="J1470" s="184"/>
    </row>
    <row r="1471" spans="1:10" ht="19.350000000000001" customHeight="1">
      <c r="A1471" s="102"/>
      <c r="B1471" s="102"/>
      <c r="C1471" s="116"/>
      <c r="F1471" s="107"/>
      <c r="G1471" s="10"/>
      <c r="H1471" s="103"/>
      <c r="I1471" s="108">
        <f>Tableau3[[#This Row],[Stock final]]*Tableau3[[#This Row],[P.U.]]</f>
        <v>0</v>
      </c>
      <c r="J1471" s="184"/>
    </row>
    <row r="1472" spans="1:10" ht="19.350000000000001" customHeight="1">
      <c r="A1472" s="102"/>
      <c r="B1472" s="102"/>
      <c r="C1472" s="116"/>
      <c r="F1472" s="107"/>
      <c r="G1472" s="10"/>
      <c r="H1472" s="103"/>
      <c r="I1472" s="108">
        <f>Tableau3[[#This Row],[Stock final]]*Tableau3[[#This Row],[P.U.]]</f>
        <v>0</v>
      </c>
      <c r="J1472" s="184"/>
    </row>
    <row r="1473" spans="1:10" ht="19.350000000000001" customHeight="1">
      <c r="A1473" s="102"/>
      <c r="B1473" s="102"/>
      <c r="C1473" s="116"/>
      <c r="F1473" s="107"/>
      <c r="G1473" s="10"/>
      <c r="H1473" s="103"/>
      <c r="I1473" s="108">
        <f>Tableau3[[#This Row],[Stock final]]*Tableau3[[#This Row],[P.U.]]</f>
        <v>0</v>
      </c>
      <c r="J1473" s="184"/>
    </row>
    <row r="1474" spans="1:10" ht="19.350000000000001" customHeight="1">
      <c r="A1474" s="102"/>
      <c r="B1474" s="102"/>
      <c r="C1474" s="116"/>
      <c r="F1474" s="107"/>
      <c r="G1474" s="10"/>
      <c r="H1474" s="103"/>
      <c r="I1474" s="108">
        <f>Tableau3[[#This Row],[Stock final]]*Tableau3[[#This Row],[P.U.]]</f>
        <v>0</v>
      </c>
      <c r="J1474" s="184"/>
    </row>
    <row r="1475" spans="1:10" ht="19.350000000000001" customHeight="1">
      <c r="A1475" s="102"/>
      <c r="B1475" s="102"/>
      <c r="C1475" s="116"/>
      <c r="F1475" s="107"/>
      <c r="G1475" s="10"/>
      <c r="H1475" s="103"/>
      <c r="I1475" s="108">
        <f>Tableau3[[#This Row],[Stock final]]*Tableau3[[#This Row],[P.U.]]</f>
        <v>0</v>
      </c>
      <c r="J1475" s="184"/>
    </row>
    <row r="1476" spans="1:10" ht="19.350000000000001" customHeight="1">
      <c r="A1476" s="102"/>
      <c r="B1476" s="102"/>
      <c r="C1476" s="116"/>
      <c r="F1476" s="107"/>
      <c r="G1476" s="10"/>
      <c r="H1476" s="103"/>
      <c r="I1476" s="108">
        <f>Tableau3[[#This Row],[Stock final]]*Tableau3[[#This Row],[P.U.]]</f>
        <v>0</v>
      </c>
      <c r="J1476" s="184"/>
    </row>
    <row r="1477" spans="1:10" ht="19.350000000000001" customHeight="1">
      <c r="A1477" s="102"/>
      <c r="B1477" s="102"/>
      <c r="C1477" s="116"/>
      <c r="F1477" s="107"/>
      <c r="G1477" s="10"/>
      <c r="H1477" s="103"/>
      <c r="I1477" s="108">
        <f>Tableau3[[#This Row],[Stock final]]*Tableau3[[#This Row],[P.U.]]</f>
        <v>0</v>
      </c>
      <c r="J1477" s="184"/>
    </row>
    <row r="1478" spans="1:10" ht="19.350000000000001" customHeight="1">
      <c r="A1478" s="102"/>
      <c r="B1478" s="102"/>
      <c r="C1478" s="116"/>
      <c r="F1478" s="107"/>
      <c r="G1478" s="10"/>
      <c r="H1478" s="103"/>
      <c r="I1478" s="108">
        <f>Tableau3[[#This Row],[Stock final]]*Tableau3[[#This Row],[P.U.]]</f>
        <v>0</v>
      </c>
      <c r="J1478" s="184"/>
    </row>
    <row r="1479" spans="1:10" ht="19.350000000000001" customHeight="1">
      <c r="A1479" s="102"/>
      <c r="B1479" s="102"/>
      <c r="C1479" s="116"/>
      <c r="F1479" s="107"/>
      <c r="G1479" s="10"/>
      <c r="H1479" s="103"/>
      <c r="I1479" s="108">
        <f>Tableau3[[#This Row],[Stock final]]*Tableau3[[#This Row],[P.U.]]</f>
        <v>0</v>
      </c>
      <c r="J1479" s="184"/>
    </row>
    <row r="1480" spans="1:10" ht="19.350000000000001" customHeight="1">
      <c r="A1480" s="102"/>
      <c r="B1480" s="102"/>
      <c r="C1480" s="116"/>
      <c r="F1480" s="107"/>
      <c r="G1480" s="10"/>
      <c r="H1480" s="103"/>
      <c r="I1480" s="108">
        <f>Tableau3[[#This Row],[Stock final]]*Tableau3[[#This Row],[P.U.]]</f>
        <v>0</v>
      </c>
      <c r="J1480" s="184"/>
    </row>
    <row r="1481" spans="1:10" ht="19.350000000000001" customHeight="1">
      <c r="A1481" s="102"/>
      <c r="B1481" s="102"/>
      <c r="C1481" s="116"/>
      <c r="F1481" s="107"/>
      <c r="G1481" s="10"/>
      <c r="H1481" s="103"/>
      <c r="I1481" s="108">
        <f>Tableau3[[#This Row],[Stock final]]*Tableau3[[#This Row],[P.U.]]</f>
        <v>0</v>
      </c>
      <c r="J1481" s="184"/>
    </row>
    <row r="1482" spans="1:10" ht="19.350000000000001" customHeight="1">
      <c r="A1482" s="102"/>
      <c r="B1482" s="102"/>
      <c r="C1482" s="116"/>
      <c r="F1482" s="107"/>
      <c r="G1482" s="10"/>
      <c r="H1482" s="103"/>
      <c r="I1482" s="108">
        <f>Tableau3[[#This Row],[Stock final]]*Tableau3[[#This Row],[P.U.]]</f>
        <v>0</v>
      </c>
      <c r="J1482" s="184"/>
    </row>
    <row r="1483" spans="1:10" ht="19.350000000000001" customHeight="1">
      <c r="A1483" s="102"/>
      <c r="B1483" s="102"/>
      <c r="C1483" s="116"/>
      <c r="F1483" s="107"/>
      <c r="G1483" s="10"/>
      <c r="H1483" s="103"/>
      <c r="I1483" s="108">
        <f>Tableau3[[#This Row],[Stock final]]*Tableau3[[#This Row],[P.U.]]</f>
        <v>0</v>
      </c>
      <c r="J1483" s="184"/>
    </row>
    <row r="1484" spans="1:10" ht="19.350000000000001" customHeight="1">
      <c r="A1484" s="102"/>
      <c r="B1484" s="102"/>
      <c r="C1484" s="116"/>
      <c r="F1484" s="107"/>
      <c r="G1484" s="10"/>
      <c r="H1484" s="103"/>
      <c r="I1484" s="108">
        <f>Tableau3[[#This Row],[Stock final]]*Tableau3[[#This Row],[P.U.]]</f>
        <v>0</v>
      </c>
      <c r="J1484" s="184"/>
    </row>
    <row r="1485" spans="1:10" ht="19.350000000000001" customHeight="1">
      <c r="A1485" s="102"/>
      <c r="B1485" s="102"/>
      <c r="C1485" s="116"/>
      <c r="F1485" s="107"/>
      <c r="G1485" s="10"/>
      <c r="H1485" s="103"/>
      <c r="I1485" s="108">
        <f>Tableau3[[#This Row],[Stock final]]*Tableau3[[#This Row],[P.U.]]</f>
        <v>0</v>
      </c>
      <c r="J1485" s="184"/>
    </row>
    <row r="1486" spans="1:10" ht="19.350000000000001" customHeight="1">
      <c r="A1486" s="102"/>
      <c r="B1486" s="102"/>
      <c r="C1486" s="116"/>
      <c r="F1486" s="107"/>
      <c r="G1486" s="10"/>
      <c r="H1486" s="103"/>
      <c r="I1486" s="108">
        <f>Tableau3[[#This Row],[Stock final]]*Tableau3[[#This Row],[P.U.]]</f>
        <v>0</v>
      </c>
      <c r="J1486" s="184"/>
    </row>
    <row r="1487" spans="1:10" ht="19.350000000000001" customHeight="1">
      <c r="A1487" s="102"/>
      <c r="B1487" s="102"/>
      <c r="C1487" s="116"/>
      <c r="F1487" s="107"/>
      <c r="G1487" s="10"/>
      <c r="H1487" s="103"/>
      <c r="I1487" s="108">
        <f>Tableau3[[#This Row],[Stock final]]*Tableau3[[#This Row],[P.U.]]</f>
        <v>0</v>
      </c>
      <c r="J1487" s="184"/>
    </row>
    <row r="1488" spans="1:10" ht="19.350000000000001" customHeight="1">
      <c r="A1488" s="102"/>
      <c r="B1488" s="102"/>
      <c r="C1488" s="116"/>
      <c r="F1488" s="107"/>
      <c r="G1488" s="10"/>
      <c r="H1488" s="103"/>
      <c r="I1488" s="108">
        <f>Tableau3[[#This Row],[Stock final]]*Tableau3[[#This Row],[P.U.]]</f>
        <v>0</v>
      </c>
      <c r="J1488" s="184"/>
    </row>
    <row r="1489" spans="1:10" ht="19.350000000000001" customHeight="1">
      <c r="A1489" s="102"/>
      <c r="B1489" s="102"/>
      <c r="C1489" s="116"/>
      <c r="F1489" s="107"/>
      <c r="G1489" s="10"/>
      <c r="H1489" s="103"/>
      <c r="I1489" s="108">
        <f>Tableau3[[#This Row],[Stock final]]*Tableau3[[#This Row],[P.U.]]</f>
        <v>0</v>
      </c>
      <c r="J1489" s="184"/>
    </row>
    <row r="1490" spans="1:10" ht="19.350000000000001" customHeight="1">
      <c r="A1490" s="102"/>
      <c r="B1490" s="102"/>
      <c r="C1490" s="116"/>
      <c r="F1490" s="107"/>
      <c r="G1490" s="10"/>
      <c r="H1490" s="103"/>
      <c r="I1490" s="108">
        <f>Tableau3[[#This Row],[Stock final]]*Tableau3[[#This Row],[P.U.]]</f>
        <v>0</v>
      </c>
      <c r="J1490" s="184"/>
    </row>
    <row r="1491" spans="1:10" ht="19.350000000000001" customHeight="1">
      <c r="A1491" s="102" t="s">
        <v>1245</v>
      </c>
      <c r="B1491" s="102" t="s">
        <v>1246</v>
      </c>
      <c r="C1491" s="116" t="s">
        <v>1539</v>
      </c>
      <c r="D1491" s="11" t="s">
        <v>1247</v>
      </c>
      <c r="F1491" s="107"/>
      <c r="G1491" s="10">
        <v>30</v>
      </c>
      <c r="H1491" s="103">
        <v>7.15</v>
      </c>
      <c r="I1491" s="108">
        <f>Tableau3[[#This Row],[Stock final]]*Tableau3[[#This Row],[P.U.]]</f>
        <v>214.5</v>
      </c>
      <c r="J1491" s="184"/>
    </row>
    <row r="1492" spans="1:10" ht="19.350000000000001" customHeight="1">
      <c r="A1492" s="102" t="s">
        <v>1245</v>
      </c>
      <c r="B1492" s="102" t="s">
        <v>1246</v>
      </c>
      <c r="C1492" s="116" t="s">
        <v>1541</v>
      </c>
      <c r="D1492" s="11" t="s">
        <v>1248</v>
      </c>
      <c r="F1492" s="107"/>
      <c r="G1492" s="10">
        <v>8</v>
      </c>
      <c r="H1492" s="103">
        <v>7.47</v>
      </c>
      <c r="I1492" s="108">
        <f>Tableau3[[#This Row],[Stock final]]*Tableau3[[#This Row],[P.U.]]</f>
        <v>59.76</v>
      </c>
      <c r="J1492" s="184"/>
    </row>
    <row r="1493" spans="1:10" ht="19.350000000000001" customHeight="1">
      <c r="A1493" s="102" t="s">
        <v>1245</v>
      </c>
      <c r="B1493" s="102" t="s">
        <v>1246</v>
      </c>
      <c r="C1493" s="116" t="s">
        <v>1540</v>
      </c>
      <c r="D1493" s="11" t="s">
        <v>1249</v>
      </c>
      <c r="F1493" s="107"/>
      <c r="G1493" s="10">
        <v>1</v>
      </c>
      <c r="H1493" s="103">
        <v>9.56</v>
      </c>
      <c r="I1493" s="108">
        <f>Tableau3[[#This Row],[Stock final]]*Tableau3[[#This Row],[P.U.]]</f>
        <v>9.56</v>
      </c>
      <c r="J1493" s="184"/>
    </row>
    <row r="1494" spans="1:10" ht="19.350000000000001" customHeight="1">
      <c r="A1494" s="102"/>
      <c r="B1494" s="102"/>
      <c r="C1494" s="116"/>
      <c r="F1494" s="107"/>
      <c r="G1494" s="10"/>
      <c r="H1494" s="103"/>
      <c r="I1494" s="108">
        <f>Tableau3[[#This Row],[Stock final]]*Tableau3[[#This Row],[P.U.]]</f>
        <v>0</v>
      </c>
      <c r="J1494" s="184"/>
    </row>
    <row r="1495" spans="1:10" ht="19.350000000000001" customHeight="1">
      <c r="A1495" s="102"/>
      <c r="B1495" s="102"/>
      <c r="C1495" s="116"/>
      <c r="F1495" s="107"/>
      <c r="G1495" s="10"/>
      <c r="H1495" s="103"/>
      <c r="I1495" s="108">
        <f>Tableau3[[#This Row],[Stock final]]*Tableau3[[#This Row],[P.U.]]</f>
        <v>0</v>
      </c>
      <c r="J1495" s="184"/>
    </row>
    <row r="1496" spans="1:10" ht="19.350000000000001" customHeight="1">
      <c r="A1496" s="102" t="s">
        <v>1245</v>
      </c>
      <c r="B1496" s="102" t="s">
        <v>1250</v>
      </c>
      <c r="C1496" s="116" t="s">
        <v>1251</v>
      </c>
      <c r="D1496" s="11" t="s">
        <v>1252</v>
      </c>
      <c r="E1496" s="113" t="s">
        <v>1253</v>
      </c>
      <c r="F1496" s="107"/>
      <c r="G1496" s="10">
        <v>1</v>
      </c>
      <c r="H1496" s="103">
        <v>46.56</v>
      </c>
      <c r="I1496" s="108">
        <f>Tableau3[[#This Row],[Stock final]]*Tableau3[[#This Row],[P.U.]]</f>
        <v>46.56</v>
      </c>
      <c r="J1496" s="184"/>
    </row>
    <row r="1497" spans="1:10" ht="19.350000000000001" customHeight="1">
      <c r="A1497" s="102" t="s">
        <v>1245</v>
      </c>
      <c r="B1497" s="102" t="s">
        <v>1250</v>
      </c>
      <c r="C1497" s="116" t="s">
        <v>1254</v>
      </c>
      <c r="D1497" s="11" t="s">
        <v>1542</v>
      </c>
      <c r="F1497" s="107"/>
      <c r="G1497" s="10">
        <v>1</v>
      </c>
      <c r="H1497" s="103">
        <v>4.7300000000000004</v>
      </c>
      <c r="I1497" s="108">
        <f>Tableau3[[#This Row],[Stock final]]*Tableau3[[#This Row],[P.U.]]</f>
        <v>4.7300000000000004</v>
      </c>
      <c r="J1497" s="184"/>
    </row>
    <row r="1498" spans="1:10" ht="19.350000000000001" customHeight="1">
      <c r="A1498" s="102" t="s">
        <v>1245</v>
      </c>
      <c r="B1498" s="102" t="s">
        <v>1250</v>
      </c>
      <c r="C1498" s="116" t="s">
        <v>1543</v>
      </c>
      <c r="D1498" s="11" t="s">
        <v>1255</v>
      </c>
      <c r="E1498" s="113" t="s">
        <v>1253</v>
      </c>
      <c r="F1498" s="107"/>
      <c r="G1498" s="10">
        <v>3</v>
      </c>
      <c r="H1498" s="103">
        <v>11.45</v>
      </c>
      <c r="I1498" s="108">
        <f>Tableau3[[#This Row],[Stock final]]*Tableau3[[#This Row],[P.U.]]</f>
        <v>34.349999999999994</v>
      </c>
      <c r="J1498" s="184"/>
    </row>
    <row r="1499" spans="1:10" ht="19.350000000000001" customHeight="1">
      <c r="A1499" s="102" t="s">
        <v>1245</v>
      </c>
      <c r="B1499" s="102" t="s">
        <v>1250</v>
      </c>
      <c r="C1499" s="116" t="s">
        <v>1256</v>
      </c>
      <c r="D1499" s="11" t="s">
        <v>1257</v>
      </c>
      <c r="E1499" s="113" t="s">
        <v>1253</v>
      </c>
      <c r="F1499" s="107"/>
      <c r="G1499" s="10">
        <v>6</v>
      </c>
      <c r="H1499" s="103">
        <v>6</v>
      </c>
      <c r="I1499" s="108">
        <f>Tableau3[[#This Row],[Stock final]]*Tableau3[[#This Row],[P.U.]]</f>
        <v>36</v>
      </c>
      <c r="J1499" s="184"/>
    </row>
    <row r="1500" spans="1:10" ht="19.350000000000001" customHeight="1">
      <c r="A1500" s="102"/>
      <c r="B1500" s="102"/>
      <c r="C1500" s="116"/>
      <c r="F1500" s="107"/>
      <c r="G1500" s="10"/>
      <c r="H1500" s="103"/>
      <c r="I1500" s="108">
        <f>Tableau3[[#This Row],[Stock final]]*Tableau3[[#This Row],[P.U.]]</f>
        <v>0</v>
      </c>
      <c r="J1500" s="184"/>
    </row>
    <row r="1501" spans="1:10" ht="19.350000000000001" customHeight="1">
      <c r="A1501" s="102" t="s">
        <v>1245</v>
      </c>
      <c r="B1501" s="102" t="s">
        <v>1258</v>
      </c>
      <c r="C1501" s="116">
        <v>5555008</v>
      </c>
      <c r="D1501" s="11" t="s">
        <v>1544</v>
      </c>
      <c r="E1501" s="113" t="s">
        <v>1259</v>
      </c>
      <c r="F1501" s="107"/>
      <c r="G1501" s="10">
        <v>5</v>
      </c>
      <c r="H1501" s="103">
        <v>9.99</v>
      </c>
      <c r="I1501" s="108">
        <f>Tableau3[[#This Row],[Stock final]]*Tableau3[[#This Row],[P.U.]]</f>
        <v>49.95</v>
      </c>
      <c r="J1501" s="184"/>
    </row>
    <row r="1502" spans="1:10" ht="19.350000000000001" customHeight="1">
      <c r="A1502" s="102" t="s">
        <v>1245</v>
      </c>
      <c r="B1502" s="102" t="s">
        <v>1260</v>
      </c>
      <c r="C1502" s="116">
        <v>715987</v>
      </c>
      <c r="D1502" s="11" t="s">
        <v>1261</v>
      </c>
      <c r="E1502" s="113" t="s">
        <v>1262</v>
      </c>
      <c r="F1502" s="107"/>
      <c r="G1502" s="10">
        <v>1</v>
      </c>
      <c r="H1502" s="103">
        <v>11.49</v>
      </c>
      <c r="I1502" s="108">
        <f>Tableau3[[#This Row],[Stock final]]*Tableau3[[#This Row],[P.U.]]</f>
        <v>11.49</v>
      </c>
      <c r="J1502" s="184"/>
    </row>
    <row r="1503" spans="1:10" ht="19.350000000000001" customHeight="1">
      <c r="A1503" s="102"/>
      <c r="B1503" s="102"/>
      <c r="C1503" s="116"/>
      <c r="F1503" s="107"/>
      <c r="G1503" s="10"/>
      <c r="H1503" s="103"/>
      <c r="I1503" s="108">
        <f>Tableau3[[#This Row],[Stock final]]*Tableau3[[#This Row],[P.U.]]</f>
        <v>0</v>
      </c>
      <c r="J1503" s="184"/>
    </row>
    <row r="1504" spans="1:10" ht="19.350000000000001" customHeight="1">
      <c r="A1504" s="102" t="s">
        <v>1245</v>
      </c>
      <c r="B1504" s="102" t="s">
        <v>1263</v>
      </c>
      <c r="C1504" s="116">
        <v>28776</v>
      </c>
      <c r="D1504" s="11" t="s">
        <v>1264</v>
      </c>
      <c r="E1504" s="113" t="s">
        <v>1262</v>
      </c>
      <c r="F1504" s="107"/>
      <c r="G1504" s="10">
        <v>40</v>
      </c>
      <c r="H1504" s="103">
        <v>8.09</v>
      </c>
      <c r="I1504" s="108">
        <f>Tableau3[[#This Row],[Stock final]]*Tableau3[[#This Row],[P.U.]]</f>
        <v>323.60000000000002</v>
      </c>
      <c r="J1504" s="184"/>
    </row>
    <row r="1505" spans="1:10" ht="19.350000000000001" customHeight="1">
      <c r="A1505" s="102" t="s">
        <v>1245</v>
      </c>
      <c r="B1505" s="102" t="s">
        <v>1265</v>
      </c>
      <c r="C1505" s="116">
        <v>143051</v>
      </c>
      <c r="D1505" s="11" t="s">
        <v>1266</v>
      </c>
      <c r="E1505" s="113" t="s">
        <v>1253</v>
      </c>
      <c r="F1505" s="107"/>
      <c r="G1505" s="10">
        <v>6</v>
      </c>
      <c r="H1505" s="103">
        <v>11.44</v>
      </c>
      <c r="I1505" s="108">
        <f>Tableau3[[#This Row],[Stock final]]*Tableau3[[#This Row],[P.U.]]</f>
        <v>68.64</v>
      </c>
      <c r="J1505" s="184"/>
    </row>
    <row r="1506" spans="1:10" ht="19.350000000000001" customHeight="1">
      <c r="A1506" s="102" t="s">
        <v>1245</v>
      </c>
      <c r="B1506" s="102" t="s">
        <v>1265</v>
      </c>
      <c r="C1506" s="116">
        <v>80100036362</v>
      </c>
      <c r="D1506" s="11" t="s">
        <v>1267</v>
      </c>
      <c r="E1506" s="113" t="s">
        <v>1268</v>
      </c>
      <c r="F1506" s="107"/>
      <c r="G1506" s="10">
        <v>1</v>
      </c>
      <c r="H1506" s="103"/>
      <c r="I1506" s="108">
        <f>Tableau3[[#This Row],[Stock final]]*Tableau3[[#This Row],[P.U.]]</f>
        <v>0</v>
      </c>
      <c r="J1506" s="184" t="s">
        <v>1487</v>
      </c>
    </row>
    <row r="1507" spans="1:10" ht="19.350000000000001" customHeight="1">
      <c r="A1507" s="102"/>
      <c r="B1507" s="102"/>
      <c r="C1507" s="116"/>
      <c r="F1507" s="107"/>
      <c r="G1507" s="10"/>
      <c r="H1507" s="103"/>
      <c r="I1507" s="108">
        <f>Tableau3[[#This Row],[Stock final]]*Tableau3[[#This Row],[P.U.]]</f>
        <v>0</v>
      </c>
      <c r="J1507" s="184"/>
    </row>
    <row r="1508" spans="1:10" ht="19.350000000000001" customHeight="1">
      <c r="A1508" s="102" t="s">
        <v>1269</v>
      </c>
      <c r="B1508" s="102" t="s">
        <v>1270</v>
      </c>
      <c r="C1508" s="116" t="s">
        <v>1272</v>
      </c>
      <c r="D1508" s="11" t="s">
        <v>1273</v>
      </c>
      <c r="E1508" s="113" t="s">
        <v>315</v>
      </c>
      <c r="F1508" s="107"/>
      <c r="G1508" s="10">
        <v>5</v>
      </c>
      <c r="H1508" s="103">
        <v>12.95</v>
      </c>
      <c r="I1508" s="108">
        <f>Tableau3[[#This Row],[Stock final]]*Tableau3[[#This Row],[P.U.]]</f>
        <v>64.75</v>
      </c>
      <c r="J1508" s="184"/>
    </row>
    <row r="1509" spans="1:10" ht="19.350000000000001" customHeight="1">
      <c r="A1509" s="102" t="s">
        <v>1269</v>
      </c>
      <c r="B1509" s="102" t="s">
        <v>1270</v>
      </c>
      <c r="C1509" s="116" t="s">
        <v>1274</v>
      </c>
      <c r="D1509" s="11" t="s">
        <v>1275</v>
      </c>
      <c r="E1509" s="113" t="s">
        <v>315</v>
      </c>
      <c r="F1509" s="107"/>
      <c r="G1509" s="10">
        <v>3</v>
      </c>
      <c r="H1509" s="103">
        <v>12.5</v>
      </c>
      <c r="I1509" s="108">
        <f>Tableau3[[#This Row],[Stock final]]*Tableau3[[#This Row],[P.U.]]</f>
        <v>37.5</v>
      </c>
      <c r="J1509" s="184"/>
    </row>
    <row r="1510" spans="1:10" ht="19.350000000000001" customHeight="1">
      <c r="A1510" s="102" t="s">
        <v>1269</v>
      </c>
      <c r="B1510" s="102"/>
      <c r="C1510" s="116"/>
      <c r="D1510" s="11" t="s">
        <v>1276</v>
      </c>
      <c r="F1510" s="107"/>
      <c r="G1510" s="10">
        <v>1</v>
      </c>
      <c r="H1510" s="103"/>
      <c r="I1510" s="108">
        <f>Tableau3[[#This Row],[Stock final]]*Tableau3[[#This Row],[P.U.]]</f>
        <v>0</v>
      </c>
      <c r="J1510" s="184"/>
    </row>
    <row r="1511" spans="1:10" ht="19.350000000000001" customHeight="1">
      <c r="A1511" s="102" t="s">
        <v>1269</v>
      </c>
      <c r="B1511" s="102" t="s">
        <v>1260</v>
      </c>
      <c r="C1511" s="116">
        <v>187521</v>
      </c>
      <c r="D1511" s="11" t="s">
        <v>1277</v>
      </c>
      <c r="E1511" s="113" t="s">
        <v>315</v>
      </c>
      <c r="F1511" s="107"/>
      <c r="G1511" s="10">
        <v>1</v>
      </c>
      <c r="H1511" s="103">
        <v>7.6</v>
      </c>
      <c r="I1511" s="108">
        <f>Tableau3[[#This Row],[Stock final]]*Tableau3[[#This Row],[P.U.]]</f>
        <v>7.6</v>
      </c>
      <c r="J1511" s="184"/>
    </row>
    <row r="1512" spans="1:10" ht="19.350000000000001" customHeight="1">
      <c r="A1512" s="102" t="s">
        <v>1269</v>
      </c>
      <c r="B1512" s="102" t="s">
        <v>1260</v>
      </c>
      <c r="C1512" s="116">
        <v>300300</v>
      </c>
      <c r="D1512" s="11" t="s">
        <v>1545</v>
      </c>
      <c r="E1512" s="113" t="s">
        <v>341</v>
      </c>
      <c r="F1512" s="107"/>
      <c r="G1512" s="10">
        <v>3</v>
      </c>
      <c r="H1512" s="103">
        <v>6.05</v>
      </c>
      <c r="I1512" s="108">
        <f>Tableau3[[#This Row],[Stock final]]*Tableau3[[#This Row],[P.U.]]</f>
        <v>18.149999999999999</v>
      </c>
      <c r="J1512" s="184"/>
    </row>
    <row r="1513" spans="1:10" ht="19.350000000000001" customHeight="1">
      <c r="A1513" s="102" t="s">
        <v>1269</v>
      </c>
      <c r="B1513" s="102" t="s">
        <v>1271</v>
      </c>
      <c r="C1513" s="116">
        <v>449572</v>
      </c>
      <c r="D1513" s="11" t="s">
        <v>1546</v>
      </c>
      <c r="F1513" s="107"/>
      <c r="G1513" s="10">
        <v>100</v>
      </c>
      <c r="H1513" s="103">
        <v>8.59</v>
      </c>
      <c r="I1513" s="108">
        <f>Tableau3[[#This Row],[Stock final]]*Tableau3[[#This Row],[P.U.]]</f>
        <v>859</v>
      </c>
      <c r="J1513" s="184"/>
    </row>
    <row r="1514" spans="1:10" ht="19.350000000000001" customHeight="1">
      <c r="A1514" s="102"/>
      <c r="B1514" s="102"/>
      <c r="C1514" s="116"/>
      <c r="F1514" s="107"/>
      <c r="G1514" s="10"/>
      <c r="H1514" s="103"/>
      <c r="I1514" s="108">
        <f>Tableau3[[#This Row],[Stock final]]*Tableau3[[#This Row],[P.U.]]</f>
        <v>0</v>
      </c>
      <c r="J1514" s="184"/>
    </row>
    <row r="1515" spans="1:10" ht="19.350000000000001" customHeight="1">
      <c r="A1515" s="102"/>
      <c r="B1515" s="102"/>
      <c r="C1515" s="116"/>
      <c r="F1515" s="107"/>
      <c r="G1515" s="10"/>
      <c r="H1515" s="103"/>
      <c r="I1515" s="108">
        <f>Tableau3[[#This Row],[Stock final]]*Tableau3[[#This Row],[P.U.]]</f>
        <v>0</v>
      </c>
      <c r="J1515" s="184"/>
    </row>
    <row r="1516" spans="1:10" ht="19.350000000000001" customHeight="1">
      <c r="A1516" s="102" t="s">
        <v>1278</v>
      </c>
      <c r="B1516" s="102" t="s">
        <v>1547</v>
      </c>
      <c r="C1516" s="116">
        <v>715921</v>
      </c>
      <c r="D1516" s="11" t="s">
        <v>1279</v>
      </c>
      <c r="F1516" s="107"/>
      <c r="G1516" s="10">
        <v>6</v>
      </c>
      <c r="H1516" s="103">
        <v>9.4</v>
      </c>
      <c r="I1516" s="108">
        <f>Tableau3[[#This Row],[Stock final]]*Tableau3[[#This Row],[P.U.]]</f>
        <v>56.400000000000006</v>
      </c>
      <c r="J1516" s="184"/>
    </row>
    <row r="1517" spans="1:10" ht="19.350000000000001" customHeight="1">
      <c r="A1517" s="102" t="s">
        <v>1278</v>
      </c>
      <c r="B1517" s="102" t="s">
        <v>1280</v>
      </c>
      <c r="C1517" s="116">
        <v>7159</v>
      </c>
      <c r="D1517" s="11" t="s">
        <v>1281</v>
      </c>
      <c r="E1517" s="113" t="s">
        <v>1282</v>
      </c>
      <c r="F1517" s="107"/>
      <c r="G1517" s="10">
        <v>1</v>
      </c>
      <c r="H1517" s="103">
        <v>6.5</v>
      </c>
      <c r="I1517" s="108">
        <f>Tableau3[[#This Row],[Stock final]]*Tableau3[[#This Row],[P.U.]]</f>
        <v>6.5</v>
      </c>
      <c r="J1517" s="184"/>
    </row>
    <row r="1518" spans="1:10" ht="19.350000000000001" customHeight="1">
      <c r="A1518" s="102" t="s">
        <v>1278</v>
      </c>
      <c r="B1518" s="102" t="s">
        <v>1265</v>
      </c>
      <c r="C1518" s="116">
        <v>80100038654</v>
      </c>
      <c r="D1518" s="11" t="s">
        <v>1283</v>
      </c>
      <c r="F1518" s="107"/>
      <c r="G1518" s="10">
        <v>1</v>
      </c>
      <c r="H1518" s="103"/>
      <c r="I1518" s="108">
        <f>Tableau3[[#This Row],[Stock final]]*Tableau3[[#This Row],[P.U.]]</f>
        <v>0</v>
      </c>
      <c r="J1518" s="184" t="s">
        <v>1487</v>
      </c>
    </row>
    <row r="1519" spans="1:10" ht="19.350000000000001" customHeight="1">
      <c r="A1519" s="102" t="s">
        <v>1278</v>
      </c>
      <c r="B1519" s="102" t="s">
        <v>1285</v>
      </c>
      <c r="C1519" s="116">
        <v>3760230662825</v>
      </c>
      <c r="D1519" s="11" t="s">
        <v>1548</v>
      </c>
      <c r="F1519" s="107"/>
      <c r="G1519" s="10">
        <v>1</v>
      </c>
      <c r="H1519" s="103"/>
      <c r="I1519" s="108">
        <f>Tableau3[[#This Row],[Stock final]]*Tableau3[[#This Row],[P.U.]]</f>
        <v>0</v>
      </c>
      <c r="J1519" s="184" t="s">
        <v>1487</v>
      </c>
    </row>
    <row r="1520" spans="1:10" ht="19.350000000000001" customHeight="1">
      <c r="A1520" s="102" t="s">
        <v>1278</v>
      </c>
      <c r="B1520" s="102" t="s">
        <v>1271</v>
      </c>
      <c r="C1520" s="116">
        <v>8718696453605</v>
      </c>
      <c r="D1520" s="11" t="s">
        <v>1291</v>
      </c>
      <c r="F1520" s="107"/>
      <c r="G1520" s="10">
        <v>1</v>
      </c>
      <c r="H1520" s="103"/>
      <c r="I1520" s="108">
        <f>Tableau3[[#This Row],[Stock final]]*Tableau3[[#This Row],[P.U.]]</f>
        <v>0</v>
      </c>
      <c r="J1520" s="184" t="s">
        <v>1487</v>
      </c>
    </row>
    <row r="1521" spans="1:10" ht="19.350000000000001" customHeight="1">
      <c r="A1521" s="102" t="s">
        <v>1278</v>
      </c>
      <c r="B1521" s="102" t="s">
        <v>1250</v>
      </c>
      <c r="C1521" s="116">
        <v>4058075817173</v>
      </c>
      <c r="D1521" s="11" t="s">
        <v>1292</v>
      </c>
      <c r="E1521" s="113" t="s">
        <v>341</v>
      </c>
      <c r="F1521" s="107"/>
      <c r="G1521" s="10">
        <v>2</v>
      </c>
      <c r="H1521" s="103">
        <v>11.88</v>
      </c>
      <c r="I1521" s="108">
        <f>Tableau3[[#This Row],[Stock final]]*Tableau3[[#This Row],[P.U.]]</f>
        <v>23.76</v>
      </c>
      <c r="J1521" s="184"/>
    </row>
    <row r="1522" spans="1:10" ht="19.350000000000001" customHeight="1">
      <c r="A1522" s="102" t="s">
        <v>1278</v>
      </c>
      <c r="B1522" s="102" t="s">
        <v>1250</v>
      </c>
      <c r="C1522" s="116" t="s">
        <v>1549</v>
      </c>
      <c r="D1522" s="11" t="s">
        <v>1293</v>
      </c>
      <c r="E1522" s="113" t="s">
        <v>341</v>
      </c>
      <c r="F1522" s="107"/>
      <c r="G1522" s="10">
        <v>1</v>
      </c>
      <c r="H1522" s="103">
        <v>21.87</v>
      </c>
      <c r="I1522" s="108">
        <f>Tableau3[[#This Row],[Stock final]]*Tableau3[[#This Row],[P.U.]]</f>
        <v>21.87</v>
      </c>
      <c r="J1522" s="184"/>
    </row>
    <row r="1523" spans="1:10" ht="19.350000000000001" customHeight="1">
      <c r="A1523" s="102" t="s">
        <v>1278</v>
      </c>
      <c r="B1523" s="102" t="s">
        <v>1250</v>
      </c>
      <c r="C1523" s="116">
        <v>4058075264267</v>
      </c>
      <c r="D1523" s="11" t="s">
        <v>1294</v>
      </c>
      <c r="E1523" s="113" t="s">
        <v>341</v>
      </c>
      <c r="F1523" s="107"/>
      <c r="G1523" s="10">
        <v>2</v>
      </c>
      <c r="H1523" s="103"/>
      <c r="I1523" s="108">
        <f>Tableau3[[#This Row],[Stock final]]*Tableau3[[#This Row],[P.U.]]</f>
        <v>0</v>
      </c>
      <c r="J1523" s="184" t="s">
        <v>1487</v>
      </c>
    </row>
    <row r="1524" spans="1:10" ht="19.350000000000001" customHeight="1">
      <c r="A1524" s="102" t="s">
        <v>1278</v>
      </c>
      <c r="B1524" s="102" t="s">
        <v>1250</v>
      </c>
      <c r="C1524" s="116">
        <v>4050300066059</v>
      </c>
      <c r="D1524" s="11" t="s">
        <v>1295</v>
      </c>
      <c r="F1524" s="107"/>
      <c r="G1524" s="10">
        <v>1</v>
      </c>
      <c r="H1524" s="103"/>
      <c r="I1524" s="108">
        <f>Tableau3[[#This Row],[Stock final]]*Tableau3[[#This Row],[P.U.]]</f>
        <v>0</v>
      </c>
      <c r="J1524" s="184" t="s">
        <v>1487</v>
      </c>
    </row>
    <row r="1525" spans="1:10" ht="19.350000000000001" customHeight="1">
      <c r="A1525" s="102" t="s">
        <v>1278</v>
      </c>
      <c r="B1525" s="102" t="s">
        <v>1260</v>
      </c>
      <c r="C1525" s="116" t="s">
        <v>1550</v>
      </c>
      <c r="D1525" s="11" t="s">
        <v>1297</v>
      </c>
      <c r="E1525" s="113" t="s">
        <v>1268</v>
      </c>
      <c r="F1525" s="107"/>
      <c r="G1525" s="10">
        <v>2</v>
      </c>
      <c r="H1525" s="103"/>
      <c r="I1525" s="108">
        <f>Tableau3[[#This Row],[Stock final]]*Tableau3[[#This Row],[P.U.]]</f>
        <v>0</v>
      </c>
      <c r="J1525" s="184" t="s">
        <v>1487</v>
      </c>
    </row>
    <row r="1526" spans="1:10" ht="19.350000000000001" customHeight="1">
      <c r="A1526" s="102" t="s">
        <v>1278</v>
      </c>
      <c r="B1526" s="102" t="s">
        <v>1260</v>
      </c>
      <c r="C1526" s="116">
        <v>976658</v>
      </c>
      <c r="D1526" s="11" t="s">
        <v>1298</v>
      </c>
      <c r="E1526" s="113" t="s">
        <v>1296</v>
      </c>
      <c r="F1526" s="107"/>
      <c r="G1526" s="10">
        <v>33</v>
      </c>
      <c r="H1526" s="103">
        <v>4.33</v>
      </c>
      <c r="I1526" s="108">
        <f>Tableau3[[#This Row],[Stock final]]*Tableau3[[#This Row],[P.U.]]</f>
        <v>142.89000000000001</v>
      </c>
      <c r="J1526" s="184"/>
    </row>
    <row r="1527" spans="1:10" ht="19.350000000000001" customHeight="1">
      <c r="A1527" s="102" t="s">
        <v>1278</v>
      </c>
      <c r="B1527" s="102" t="s">
        <v>1260</v>
      </c>
      <c r="C1527" s="116">
        <v>165458</v>
      </c>
      <c r="D1527" s="11" t="s">
        <v>1299</v>
      </c>
      <c r="E1527" s="113" t="s">
        <v>1300</v>
      </c>
      <c r="F1527" s="107"/>
      <c r="G1527" s="10">
        <v>4</v>
      </c>
      <c r="H1527" s="103">
        <v>4.47</v>
      </c>
      <c r="I1527" s="108">
        <f>Tableau3[[#This Row],[Stock final]]*Tableau3[[#This Row],[P.U.]]</f>
        <v>17.88</v>
      </c>
      <c r="J1527" s="184"/>
    </row>
    <row r="1528" spans="1:10" ht="19.350000000000001" customHeight="1">
      <c r="A1528" s="102" t="s">
        <v>1278</v>
      </c>
      <c r="B1528" s="102" t="s">
        <v>1250</v>
      </c>
      <c r="C1528" s="116">
        <v>64544</v>
      </c>
      <c r="D1528" s="11" t="s">
        <v>1301</v>
      </c>
      <c r="F1528" s="107"/>
      <c r="G1528" s="10">
        <v>2</v>
      </c>
      <c r="H1528" s="103"/>
      <c r="I1528" s="108">
        <f>Tableau3[[#This Row],[Stock final]]*Tableau3[[#This Row],[P.U.]]</f>
        <v>0</v>
      </c>
      <c r="J1528" s="184" t="s">
        <v>1487</v>
      </c>
    </row>
    <row r="1529" spans="1:10" ht="19.350000000000001" customHeight="1">
      <c r="A1529" s="102" t="s">
        <v>1278</v>
      </c>
      <c r="B1529" s="102" t="s">
        <v>1250</v>
      </c>
      <c r="C1529" s="116">
        <v>64547</v>
      </c>
      <c r="D1529" s="11" t="s">
        <v>1302</v>
      </c>
      <c r="F1529" s="107"/>
      <c r="G1529" s="10">
        <v>1</v>
      </c>
      <c r="H1529" s="103"/>
      <c r="I1529" s="108">
        <f>Tableau3[[#This Row],[Stock final]]*Tableau3[[#This Row],[P.U.]]</f>
        <v>0</v>
      </c>
      <c r="J1529" s="184" t="s">
        <v>1487</v>
      </c>
    </row>
    <row r="1530" spans="1:10" ht="19.350000000000001" customHeight="1">
      <c r="A1530" s="102" t="s">
        <v>1278</v>
      </c>
      <c r="B1530" s="102" t="s">
        <v>1286</v>
      </c>
      <c r="C1530" s="116" t="s">
        <v>1303</v>
      </c>
      <c r="D1530" s="11" t="s">
        <v>1304</v>
      </c>
      <c r="E1530" s="113" t="s">
        <v>341</v>
      </c>
      <c r="F1530" s="107"/>
      <c r="G1530" s="10">
        <v>2</v>
      </c>
      <c r="H1530" s="103"/>
      <c r="I1530" s="108">
        <f>Tableau3[[#This Row],[Stock final]]*Tableau3[[#This Row],[P.U.]]</f>
        <v>0</v>
      </c>
      <c r="J1530" s="184" t="s">
        <v>1487</v>
      </c>
    </row>
    <row r="1531" spans="1:10" ht="19.350000000000001" customHeight="1">
      <c r="A1531" s="102" t="s">
        <v>1278</v>
      </c>
      <c r="B1531" s="102" t="s">
        <v>1271</v>
      </c>
      <c r="C1531" s="116"/>
      <c r="D1531" s="11" t="s">
        <v>1305</v>
      </c>
      <c r="F1531" s="107"/>
      <c r="G1531" s="10">
        <v>1</v>
      </c>
      <c r="H1531" s="103">
        <v>18.34</v>
      </c>
      <c r="I1531" s="108">
        <f>Tableau3[[#This Row],[Stock final]]*Tableau3[[#This Row],[P.U.]]</f>
        <v>18.34</v>
      </c>
      <c r="J1531" s="184"/>
    </row>
    <row r="1532" spans="1:10" ht="19.350000000000001" customHeight="1">
      <c r="A1532" s="102" t="s">
        <v>1278</v>
      </c>
      <c r="B1532" s="102" t="s">
        <v>1287</v>
      </c>
      <c r="C1532" s="116" t="s">
        <v>1306</v>
      </c>
      <c r="D1532" s="11" t="s">
        <v>1307</v>
      </c>
      <c r="E1532" s="113" t="s">
        <v>1296</v>
      </c>
      <c r="F1532" s="107"/>
      <c r="G1532" s="10">
        <v>1</v>
      </c>
      <c r="H1532" s="103"/>
      <c r="I1532" s="108">
        <f>Tableau3[[#This Row],[Stock final]]*Tableau3[[#This Row],[P.U.]]</f>
        <v>0</v>
      </c>
      <c r="J1532" s="184" t="s">
        <v>1551</v>
      </c>
    </row>
    <row r="1533" spans="1:10" ht="19.350000000000001" customHeight="1">
      <c r="A1533" s="102" t="s">
        <v>1278</v>
      </c>
      <c r="B1533" s="102"/>
      <c r="C1533" s="116"/>
      <c r="F1533" s="107"/>
      <c r="G1533" s="10"/>
      <c r="H1533" s="103"/>
      <c r="I1533" s="108">
        <f>Tableau3[[#This Row],[Stock final]]*Tableau3[[#This Row],[P.U.]]</f>
        <v>0</v>
      </c>
      <c r="J1533" s="184"/>
    </row>
    <row r="1534" spans="1:10" ht="19.350000000000001" customHeight="1">
      <c r="A1534" s="102" t="s">
        <v>1284</v>
      </c>
      <c r="B1534" s="102" t="s">
        <v>1250</v>
      </c>
      <c r="C1534" s="116" t="s">
        <v>1552</v>
      </c>
      <c r="D1534" s="11" t="s">
        <v>1308</v>
      </c>
      <c r="F1534" s="107"/>
      <c r="G1534" s="10">
        <v>9</v>
      </c>
      <c r="H1534" s="103"/>
      <c r="I1534" s="108">
        <f>Tableau3[[#This Row],[Stock final]]*Tableau3[[#This Row],[P.U.]]</f>
        <v>0</v>
      </c>
      <c r="J1534" s="184" t="s">
        <v>1487</v>
      </c>
    </row>
    <row r="1535" spans="1:10" ht="19.350000000000001" customHeight="1">
      <c r="A1535" s="102" t="s">
        <v>1284</v>
      </c>
      <c r="B1535" s="102" t="s">
        <v>1288</v>
      </c>
      <c r="C1535" s="116"/>
      <c r="D1535" s="11" t="s">
        <v>1556</v>
      </c>
      <c r="E1535" s="113" t="s">
        <v>341</v>
      </c>
      <c r="F1535" s="107"/>
      <c r="G1535" s="10">
        <v>55</v>
      </c>
      <c r="H1535" s="103"/>
      <c r="I1535" s="108">
        <f>Tableau3[[#This Row],[Stock final]]*Tableau3[[#This Row],[P.U.]]</f>
        <v>0</v>
      </c>
      <c r="J1535" s="184" t="s">
        <v>1557</v>
      </c>
    </row>
    <row r="1536" spans="1:10" ht="19.350000000000001" customHeight="1">
      <c r="A1536" s="102" t="s">
        <v>1284</v>
      </c>
      <c r="B1536" s="102" t="s">
        <v>1260</v>
      </c>
      <c r="C1536" s="116">
        <v>713178</v>
      </c>
      <c r="D1536" s="11" t="s">
        <v>1309</v>
      </c>
      <c r="F1536" s="107"/>
      <c r="G1536" s="10">
        <v>20</v>
      </c>
      <c r="H1536" s="103">
        <v>4.9800000000000004</v>
      </c>
      <c r="I1536" s="108">
        <f>Tableau3[[#This Row],[Stock final]]*Tableau3[[#This Row],[P.U.]]</f>
        <v>99.600000000000009</v>
      </c>
      <c r="J1536" s="184"/>
    </row>
    <row r="1537" spans="1:10" ht="19.350000000000001" customHeight="1">
      <c r="A1537" s="102" t="s">
        <v>1284</v>
      </c>
      <c r="B1537" s="102" t="s">
        <v>1265</v>
      </c>
      <c r="C1537" s="116">
        <v>80100036365</v>
      </c>
      <c r="D1537" s="11" t="s">
        <v>1310</v>
      </c>
      <c r="F1537" s="107"/>
      <c r="G1537" s="10">
        <v>2</v>
      </c>
      <c r="H1537" s="103">
        <v>17.02</v>
      </c>
      <c r="I1537" s="108">
        <f>Tableau3[[#This Row],[Stock final]]*Tableau3[[#This Row],[P.U.]]</f>
        <v>34.04</v>
      </c>
      <c r="J1537" s="184"/>
    </row>
    <row r="1538" spans="1:10" ht="19.350000000000001" customHeight="1">
      <c r="A1538" s="102" t="s">
        <v>1284</v>
      </c>
      <c r="B1538" s="102" t="s">
        <v>1280</v>
      </c>
      <c r="C1538" s="116" t="s">
        <v>1311</v>
      </c>
      <c r="D1538" s="11" t="s">
        <v>1312</v>
      </c>
      <c r="E1538" s="113" t="s">
        <v>1262</v>
      </c>
      <c r="F1538" s="107"/>
      <c r="G1538" s="10">
        <v>5</v>
      </c>
      <c r="H1538" s="103">
        <v>6</v>
      </c>
      <c r="I1538" s="108">
        <f>Tableau3[[#This Row],[Stock final]]*Tableau3[[#This Row],[P.U.]]</f>
        <v>30</v>
      </c>
      <c r="J1538" s="184"/>
    </row>
    <row r="1539" spans="1:10" ht="19.350000000000001" customHeight="1">
      <c r="A1539" s="102" t="s">
        <v>1284</v>
      </c>
      <c r="B1539" s="102" t="s">
        <v>1246</v>
      </c>
      <c r="C1539" s="116" t="s">
        <v>1313</v>
      </c>
      <c r="D1539" s="11" t="s">
        <v>1314</v>
      </c>
      <c r="F1539" s="107"/>
      <c r="G1539" s="10">
        <v>1</v>
      </c>
      <c r="H1539" s="103"/>
      <c r="I1539" s="108">
        <f>Tableau3[[#This Row],[Stock final]]*Tableau3[[#This Row],[P.U.]]</f>
        <v>0</v>
      </c>
      <c r="J1539" s="184" t="s">
        <v>1487</v>
      </c>
    </row>
    <row r="1540" spans="1:10" ht="19.350000000000001" customHeight="1">
      <c r="A1540" s="102" t="s">
        <v>1284</v>
      </c>
      <c r="B1540" s="102" t="s">
        <v>1265</v>
      </c>
      <c r="C1540" s="116">
        <v>143054</v>
      </c>
      <c r="D1540" s="11" t="s">
        <v>1315</v>
      </c>
      <c r="E1540" s="113" t="s">
        <v>1253</v>
      </c>
      <c r="F1540" s="107"/>
      <c r="G1540" s="10">
        <v>3</v>
      </c>
      <c r="H1540" s="103">
        <v>7.11</v>
      </c>
      <c r="I1540" s="108">
        <f>Tableau3[[#This Row],[Stock final]]*Tableau3[[#This Row],[P.U.]]</f>
        <v>21.330000000000002</v>
      </c>
      <c r="J1540" s="184"/>
    </row>
    <row r="1541" spans="1:10" ht="19.350000000000001" customHeight="1">
      <c r="A1541" s="102" t="s">
        <v>1284</v>
      </c>
      <c r="B1541" s="102" t="s">
        <v>1246</v>
      </c>
      <c r="C1541" s="116" t="s">
        <v>1558</v>
      </c>
      <c r="D1541" s="11" t="s">
        <v>1316</v>
      </c>
      <c r="F1541" s="107"/>
      <c r="G1541" s="10">
        <v>6</v>
      </c>
      <c r="H1541" s="103">
        <v>9.25</v>
      </c>
      <c r="I1541" s="108">
        <f>Tableau3[[#This Row],[Stock final]]*Tableau3[[#This Row],[P.U.]]</f>
        <v>55.5</v>
      </c>
      <c r="J1541" s="184"/>
    </row>
    <row r="1542" spans="1:10" ht="19.350000000000001" customHeight="1">
      <c r="A1542" s="102" t="s">
        <v>1284</v>
      </c>
      <c r="B1542" s="102" t="s">
        <v>1289</v>
      </c>
      <c r="C1542" s="116" t="s">
        <v>1559</v>
      </c>
      <c r="D1542" s="11" t="s">
        <v>1317</v>
      </c>
      <c r="F1542" s="107"/>
      <c r="G1542" s="10">
        <v>1</v>
      </c>
      <c r="H1542" s="103">
        <v>5.17</v>
      </c>
      <c r="I1542" s="108">
        <f>Tableau3[[#This Row],[Stock final]]*Tableau3[[#This Row],[P.U.]]</f>
        <v>5.17</v>
      </c>
      <c r="J1542" s="184"/>
    </row>
    <row r="1543" spans="1:10" ht="19.350000000000001" customHeight="1">
      <c r="A1543" s="102" t="s">
        <v>1284</v>
      </c>
      <c r="B1543" s="102" t="s">
        <v>1246</v>
      </c>
      <c r="C1543" s="116" t="s">
        <v>1560</v>
      </c>
      <c r="D1543" s="11" t="s">
        <v>1318</v>
      </c>
      <c r="F1543" s="107"/>
      <c r="G1543" s="10">
        <v>2</v>
      </c>
      <c r="H1543" s="103">
        <v>8.75</v>
      </c>
      <c r="I1543" s="108">
        <f>Tableau3[[#This Row],[Stock final]]*Tableau3[[#This Row],[P.U.]]</f>
        <v>17.5</v>
      </c>
      <c r="J1543" s="184"/>
    </row>
    <row r="1544" spans="1:10" ht="19.350000000000001" customHeight="1">
      <c r="A1544" s="102" t="s">
        <v>1284</v>
      </c>
      <c r="B1544" s="102" t="s">
        <v>1290</v>
      </c>
      <c r="C1544" s="116">
        <v>5060048180107</v>
      </c>
      <c r="D1544" s="11" t="s">
        <v>1319</v>
      </c>
      <c r="F1544" s="107"/>
      <c r="G1544" s="10">
        <v>4</v>
      </c>
      <c r="H1544" s="103"/>
      <c r="I1544" s="108">
        <f>Tableau3[[#This Row],[Stock final]]*Tableau3[[#This Row],[P.U.]]</f>
        <v>0</v>
      </c>
      <c r="J1544" s="184" t="s">
        <v>1557</v>
      </c>
    </row>
    <row r="1545" spans="1:10" ht="19.350000000000001" customHeight="1">
      <c r="A1545" s="102" t="s">
        <v>1284</v>
      </c>
      <c r="B1545" s="102" t="s">
        <v>1250</v>
      </c>
      <c r="C1545" s="116">
        <v>4008321927309</v>
      </c>
      <c r="D1545" s="11" t="s">
        <v>1320</v>
      </c>
      <c r="F1545" s="107"/>
      <c r="G1545" s="10">
        <v>1</v>
      </c>
      <c r="H1545" s="103"/>
      <c r="I1545" s="108">
        <f>Tableau3[[#This Row],[Stock final]]*Tableau3[[#This Row],[P.U.]]</f>
        <v>0</v>
      </c>
      <c r="J1545" s="184" t="s">
        <v>1487</v>
      </c>
    </row>
    <row r="1546" spans="1:10" ht="19.350000000000001" customHeight="1">
      <c r="A1546" s="102" t="s">
        <v>1284</v>
      </c>
      <c r="B1546" s="102" t="s">
        <v>1290</v>
      </c>
      <c r="C1546" s="116">
        <v>5060048184921</v>
      </c>
      <c r="D1546" s="11" t="s">
        <v>1321</v>
      </c>
      <c r="F1546" s="107"/>
      <c r="G1546" s="10">
        <v>3</v>
      </c>
      <c r="H1546" s="103"/>
      <c r="I1546" s="108">
        <f>Tableau3[[#This Row],[Stock final]]*Tableau3[[#This Row],[P.U.]]</f>
        <v>0</v>
      </c>
      <c r="J1546" s="184" t="s">
        <v>1557</v>
      </c>
    </row>
    <row r="1547" spans="1:10" ht="19.350000000000001" customHeight="1">
      <c r="A1547" s="102" t="s">
        <v>1284</v>
      </c>
      <c r="B1547" s="102" t="s">
        <v>1290</v>
      </c>
      <c r="C1547" s="116">
        <v>5060048184839</v>
      </c>
      <c r="D1547" s="11" t="s">
        <v>1322</v>
      </c>
      <c r="F1547" s="107"/>
      <c r="G1547" s="10">
        <v>1</v>
      </c>
      <c r="H1547" s="103"/>
      <c r="I1547" s="108">
        <f>Tableau3[[#This Row],[Stock final]]*Tableau3[[#This Row],[P.U.]]</f>
        <v>0</v>
      </c>
      <c r="J1547" s="184" t="s">
        <v>1557</v>
      </c>
    </row>
    <row r="1548" spans="1:10" ht="19.350000000000001" customHeight="1">
      <c r="A1548" s="102" t="s">
        <v>1284</v>
      </c>
      <c r="B1548" s="102" t="s">
        <v>1290</v>
      </c>
      <c r="C1548" s="116">
        <v>5060048184860</v>
      </c>
      <c r="D1548" s="11" t="s">
        <v>1323</v>
      </c>
      <c r="F1548" s="107"/>
      <c r="G1548" s="10">
        <v>1</v>
      </c>
      <c r="H1548" s="103"/>
      <c r="I1548" s="108">
        <f>Tableau3[[#This Row],[Stock final]]*Tableau3[[#This Row],[P.U.]]</f>
        <v>0</v>
      </c>
      <c r="J1548" s="184" t="s">
        <v>1557</v>
      </c>
    </row>
    <row r="1549" spans="1:10" ht="19.350000000000001" customHeight="1">
      <c r="A1549" s="102" t="s">
        <v>1284</v>
      </c>
      <c r="B1549" s="102" t="s">
        <v>1290</v>
      </c>
      <c r="C1549" s="116">
        <v>5060048184877</v>
      </c>
      <c r="D1549" s="11" t="s">
        <v>1324</v>
      </c>
      <c r="F1549" s="107"/>
      <c r="G1549" s="10">
        <v>2</v>
      </c>
      <c r="H1549" s="103"/>
      <c r="I1549" s="108">
        <f>Tableau3[[#This Row],[Stock final]]*Tableau3[[#This Row],[P.U.]]</f>
        <v>0</v>
      </c>
      <c r="J1549" s="184" t="s">
        <v>1557</v>
      </c>
    </row>
    <row r="1550" spans="1:10" ht="19.350000000000001" customHeight="1">
      <c r="A1550" s="102" t="s">
        <v>1284</v>
      </c>
      <c r="B1550" s="102" t="s">
        <v>1250</v>
      </c>
      <c r="C1550" s="116">
        <v>4058075287822</v>
      </c>
      <c r="D1550" s="11" t="s">
        <v>1325</v>
      </c>
      <c r="F1550" s="107"/>
      <c r="G1550" s="10">
        <v>3</v>
      </c>
      <c r="H1550" s="103">
        <v>4.2</v>
      </c>
      <c r="I1550" s="108">
        <f>Tableau3[[#This Row],[Stock final]]*Tableau3[[#This Row],[P.U.]]</f>
        <v>12.600000000000001</v>
      </c>
      <c r="J1550" s="184"/>
    </row>
    <row r="1551" spans="1:10" ht="19.350000000000001" customHeight="1">
      <c r="A1551" s="102" t="s">
        <v>1284</v>
      </c>
      <c r="B1551" s="102" t="s">
        <v>1250</v>
      </c>
      <c r="C1551" s="116">
        <v>4058075591219</v>
      </c>
      <c r="D1551" s="11" t="s">
        <v>1325</v>
      </c>
      <c r="F1551" s="107"/>
      <c r="G1551" s="10">
        <v>7</v>
      </c>
      <c r="H1551" s="103">
        <v>9.25</v>
      </c>
      <c r="I1551" s="108">
        <f>Tableau3[[#This Row],[Stock final]]*Tableau3[[#This Row],[P.U.]]</f>
        <v>64.75</v>
      </c>
      <c r="J1551" s="184"/>
    </row>
    <row r="1552" spans="1:10" ht="19.350000000000001" customHeight="1">
      <c r="A1552" s="102" t="s">
        <v>1284</v>
      </c>
      <c r="B1552" s="102" t="s">
        <v>1250</v>
      </c>
      <c r="C1552" s="116">
        <v>4058075590670</v>
      </c>
      <c r="D1552" s="11" t="s">
        <v>1326</v>
      </c>
      <c r="F1552" s="107"/>
      <c r="G1552" s="10">
        <v>1</v>
      </c>
      <c r="H1552" s="103">
        <v>9.25</v>
      </c>
      <c r="I1552" s="108">
        <f>Tableau3[[#This Row],[Stock final]]*Tableau3[[#This Row],[P.U.]]</f>
        <v>9.25</v>
      </c>
      <c r="J1552" s="184"/>
    </row>
    <row r="1553" spans="1:10" ht="19.350000000000001" customHeight="1">
      <c r="A1553" s="102" t="s">
        <v>1284</v>
      </c>
      <c r="B1553" s="102" t="s">
        <v>1250</v>
      </c>
      <c r="C1553" s="116">
        <v>4052899954953</v>
      </c>
      <c r="D1553" s="11" t="s">
        <v>1327</v>
      </c>
      <c r="F1553" s="107"/>
      <c r="G1553" s="10">
        <v>1</v>
      </c>
      <c r="H1553" s="103"/>
      <c r="I1553" s="108">
        <f>Tableau3[[#This Row],[Stock final]]*Tableau3[[#This Row],[P.U.]]</f>
        <v>0</v>
      </c>
      <c r="J1553" s="184" t="s">
        <v>1487</v>
      </c>
    </row>
    <row r="1554" spans="1:10" ht="19.350000000000001" customHeight="1">
      <c r="A1554" s="102" t="s">
        <v>1284</v>
      </c>
      <c r="B1554" s="102" t="s">
        <v>1250</v>
      </c>
      <c r="C1554" s="116">
        <v>4052899961777</v>
      </c>
      <c r="D1554" s="11" t="s">
        <v>1328</v>
      </c>
      <c r="F1554" s="107"/>
      <c r="G1554" s="10">
        <v>2</v>
      </c>
      <c r="H1554" s="103">
        <v>2.87</v>
      </c>
      <c r="I1554" s="108">
        <f>Tableau3[[#This Row],[Stock final]]*Tableau3[[#This Row],[P.U.]]</f>
        <v>5.74</v>
      </c>
      <c r="J1554" s="184"/>
    </row>
    <row r="1555" spans="1:10" ht="19.350000000000001" customHeight="1">
      <c r="A1555" s="102" t="s">
        <v>1284</v>
      </c>
      <c r="B1555" s="102" t="s">
        <v>1271</v>
      </c>
      <c r="C1555" s="116" t="s">
        <v>1561</v>
      </c>
      <c r="D1555" s="11" t="s">
        <v>1331</v>
      </c>
      <c r="F1555" s="107"/>
      <c r="G1555" s="10">
        <v>7</v>
      </c>
      <c r="H1555" s="103">
        <v>5.09</v>
      </c>
      <c r="I1555" s="108">
        <f>Tableau3[[#This Row],[Stock final]]*Tableau3[[#This Row],[P.U.]]</f>
        <v>35.629999999999995</v>
      </c>
      <c r="J1555" s="184"/>
    </row>
    <row r="1556" spans="1:10" ht="19.350000000000001" customHeight="1">
      <c r="A1556" s="102" t="s">
        <v>1284</v>
      </c>
      <c r="B1556" s="102" t="s">
        <v>1271</v>
      </c>
      <c r="C1556" s="116" t="s">
        <v>1562</v>
      </c>
      <c r="D1556" s="11" t="s">
        <v>1332</v>
      </c>
      <c r="F1556" s="107"/>
      <c r="G1556" s="10">
        <v>2</v>
      </c>
      <c r="H1556" s="103">
        <v>5.09</v>
      </c>
      <c r="I1556" s="108">
        <f>Tableau3[[#This Row],[Stock final]]*Tableau3[[#This Row],[P.U.]]</f>
        <v>10.18</v>
      </c>
      <c r="J1556" s="184"/>
    </row>
    <row r="1557" spans="1:10" ht="19.350000000000001" customHeight="1">
      <c r="A1557" s="102" t="s">
        <v>1284</v>
      </c>
      <c r="B1557" s="102" t="s">
        <v>1271</v>
      </c>
      <c r="C1557" s="116">
        <v>8718696578537</v>
      </c>
      <c r="D1557" s="11" t="s">
        <v>1333</v>
      </c>
      <c r="F1557" s="107"/>
      <c r="G1557" s="10">
        <v>3</v>
      </c>
      <c r="H1557" s="103">
        <v>5.27</v>
      </c>
      <c r="I1557" s="108">
        <f>Tableau3[[#This Row],[Stock final]]*Tableau3[[#This Row],[P.U.]]</f>
        <v>15.809999999999999</v>
      </c>
      <c r="J1557" s="184"/>
    </row>
    <row r="1558" spans="1:10" ht="19.350000000000001" customHeight="1">
      <c r="A1558" s="102" t="s">
        <v>1284</v>
      </c>
      <c r="B1558" s="102" t="s">
        <v>1271</v>
      </c>
      <c r="C1558" s="116" t="s">
        <v>1563</v>
      </c>
      <c r="D1558" s="11" t="s">
        <v>1334</v>
      </c>
      <c r="F1558" s="107"/>
      <c r="G1558" s="10">
        <v>1</v>
      </c>
      <c r="H1558" s="103">
        <v>7.5</v>
      </c>
      <c r="I1558" s="108">
        <f>Tableau3[[#This Row],[Stock final]]*Tableau3[[#This Row],[P.U.]]</f>
        <v>7.5</v>
      </c>
      <c r="J1558" s="184"/>
    </row>
    <row r="1559" spans="1:10" ht="19.350000000000001" customHeight="1">
      <c r="A1559" s="102" t="s">
        <v>1284</v>
      </c>
      <c r="B1559" s="102" t="s">
        <v>1250</v>
      </c>
      <c r="C1559" s="116">
        <v>4050300500942</v>
      </c>
      <c r="D1559" s="11" t="s">
        <v>1335</v>
      </c>
      <c r="F1559" s="107"/>
      <c r="G1559" s="10">
        <v>1</v>
      </c>
      <c r="H1559" s="103"/>
      <c r="I1559" s="108">
        <f>Tableau3[[#This Row],[Stock final]]*Tableau3[[#This Row],[P.U.]]</f>
        <v>0</v>
      </c>
      <c r="J1559" s="184" t="s">
        <v>1487</v>
      </c>
    </row>
    <row r="1560" spans="1:10" ht="19.350000000000001" customHeight="1">
      <c r="A1560" s="102" t="s">
        <v>1284</v>
      </c>
      <c r="B1560" s="102" t="s">
        <v>1271</v>
      </c>
      <c r="C1560" s="116">
        <v>8718291762386</v>
      </c>
      <c r="D1560" s="11" t="s">
        <v>1336</v>
      </c>
      <c r="F1560" s="107"/>
      <c r="G1560" s="10">
        <v>9</v>
      </c>
      <c r="H1560" s="103">
        <v>1.75</v>
      </c>
      <c r="I1560" s="108">
        <f>Tableau3[[#This Row],[Stock final]]*Tableau3[[#This Row],[P.U.]]</f>
        <v>15.75</v>
      </c>
      <c r="J1560" s="184"/>
    </row>
    <row r="1561" spans="1:10" ht="19.350000000000001" customHeight="1">
      <c r="A1561" s="102" t="s">
        <v>1284</v>
      </c>
      <c r="B1561" s="102" t="s">
        <v>1271</v>
      </c>
      <c r="C1561" s="116">
        <v>8718696578513</v>
      </c>
      <c r="D1561" s="11" t="s">
        <v>1337</v>
      </c>
      <c r="F1561" s="107"/>
      <c r="G1561" s="10">
        <v>2</v>
      </c>
      <c r="H1561" s="103">
        <v>5.01</v>
      </c>
      <c r="I1561" s="108">
        <f>Tableau3[[#This Row],[Stock final]]*Tableau3[[#This Row],[P.U.]]</f>
        <v>10.02</v>
      </c>
      <c r="J1561" s="184"/>
    </row>
    <row r="1562" spans="1:10" ht="19.350000000000001" customHeight="1">
      <c r="A1562" s="102" t="s">
        <v>1284</v>
      </c>
      <c r="B1562" s="102" t="s">
        <v>1271</v>
      </c>
      <c r="C1562" s="116">
        <v>8718696703014</v>
      </c>
      <c r="D1562" s="11" t="s">
        <v>1338</v>
      </c>
      <c r="F1562" s="107"/>
      <c r="G1562" s="10">
        <v>1</v>
      </c>
      <c r="H1562" s="103">
        <v>2.44</v>
      </c>
      <c r="I1562" s="108">
        <f>Tableau3[[#This Row],[Stock final]]*Tableau3[[#This Row],[P.U.]]</f>
        <v>2.44</v>
      </c>
      <c r="J1562" s="184"/>
    </row>
    <row r="1563" spans="1:10" ht="19.350000000000001" customHeight="1">
      <c r="A1563" s="102" t="s">
        <v>1284</v>
      </c>
      <c r="B1563" s="102" t="s">
        <v>1271</v>
      </c>
      <c r="C1563" s="116">
        <v>8718291117247</v>
      </c>
      <c r="D1563" s="11" t="s">
        <v>1339</v>
      </c>
      <c r="F1563" s="107"/>
      <c r="G1563" s="10">
        <v>5</v>
      </c>
      <c r="H1563" s="103"/>
      <c r="I1563" s="108">
        <f>Tableau3[[#This Row],[Stock final]]*Tableau3[[#This Row],[P.U.]]</f>
        <v>0</v>
      </c>
      <c r="J1563" s="184" t="s">
        <v>1487</v>
      </c>
    </row>
    <row r="1564" spans="1:10" ht="19.350000000000001" customHeight="1">
      <c r="A1564" s="102" t="s">
        <v>1284</v>
      </c>
      <c r="B1564" s="102" t="s">
        <v>1329</v>
      </c>
      <c r="C1564" s="116" t="s">
        <v>1340</v>
      </c>
      <c r="D1564" s="11" t="s">
        <v>1341</v>
      </c>
      <c r="F1564" s="107"/>
      <c r="G1564" s="10">
        <v>3</v>
      </c>
      <c r="H1564" s="103"/>
      <c r="I1564" s="108">
        <f>Tableau3[[#This Row],[Stock final]]*Tableau3[[#This Row],[P.U.]]</f>
        <v>0</v>
      </c>
      <c r="J1564" s="184" t="s">
        <v>1487</v>
      </c>
    </row>
    <row r="1565" spans="1:10" ht="19.350000000000001" customHeight="1">
      <c r="A1565" s="102" t="s">
        <v>1284</v>
      </c>
      <c r="B1565" s="102" t="s">
        <v>1263</v>
      </c>
      <c r="C1565" s="116">
        <v>28777</v>
      </c>
      <c r="D1565" s="11" t="s">
        <v>1342</v>
      </c>
      <c r="F1565" s="107"/>
      <c r="G1565" s="10">
        <v>1</v>
      </c>
      <c r="H1565" s="103">
        <v>10.86</v>
      </c>
      <c r="I1565" s="108">
        <f>Tableau3[[#This Row],[Stock final]]*Tableau3[[#This Row],[P.U.]]</f>
        <v>10.86</v>
      </c>
      <c r="J1565" s="184"/>
    </row>
    <row r="1566" spans="1:10" ht="19.350000000000001" customHeight="1">
      <c r="A1566" s="102" t="s">
        <v>1284</v>
      </c>
      <c r="B1566" s="102" t="s">
        <v>1250</v>
      </c>
      <c r="C1566" s="116" t="s">
        <v>1564</v>
      </c>
      <c r="D1566" s="11" t="s">
        <v>1343</v>
      </c>
      <c r="F1566" s="107"/>
      <c r="G1566" s="10">
        <v>3</v>
      </c>
      <c r="H1566" s="103">
        <v>9.09</v>
      </c>
      <c r="I1566" s="108">
        <f>Tableau3[[#This Row],[Stock final]]*Tableau3[[#This Row],[P.U.]]</f>
        <v>27.27</v>
      </c>
      <c r="J1566" s="184"/>
    </row>
    <row r="1567" spans="1:10" ht="19.350000000000001" customHeight="1">
      <c r="A1567" s="102" t="s">
        <v>1284</v>
      </c>
      <c r="B1567" s="102" t="s">
        <v>1250</v>
      </c>
      <c r="C1567" s="116">
        <v>4058075438613</v>
      </c>
      <c r="D1567" s="11" t="s">
        <v>1344</v>
      </c>
      <c r="F1567" s="107"/>
      <c r="G1567" s="10">
        <v>1</v>
      </c>
      <c r="H1567" s="103">
        <v>2.87</v>
      </c>
      <c r="I1567" s="108">
        <f>Tableau3[[#This Row],[Stock final]]*Tableau3[[#This Row],[P.U.]]</f>
        <v>2.87</v>
      </c>
      <c r="J1567" s="184"/>
    </row>
    <row r="1568" spans="1:10" ht="19.350000000000001" customHeight="1">
      <c r="A1568" s="102" t="s">
        <v>1284</v>
      </c>
      <c r="B1568" s="102" t="s">
        <v>1250</v>
      </c>
      <c r="C1568" s="116">
        <v>4008321927460</v>
      </c>
      <c r="D1568" s="11" t="s">
        <v>1345</v>
      </c>
      <c r="F1568" s="107"/>
      <c r="G1568" s="10">
        <v>1</v>
      </c>
      <c r="H1568" s="103"/>
      <c r="I1568" s="108">
        <f>Tableau3[[#This Row],[Stock final]]*Tableau3[[#This Row],[P.U.]]</f>
        <v>0</v>
      </c>
      <c r="J1568" s="184" t="s">
        <v>1487</v>
      </c>
    </row>
    <row r="1569" spans="1:10" ht="19.350000000000001" customHeight="1">
      <c r="A1569" s="102" t="s">
        <v>1284</v>
      </c>
      <c r="B1569" s="102" t="s">
        <v>1330</v>
      </c>
      <c r="C1569" s="116">
        <v>5410288368504</v>
      </c>
      <c r="D1569" s="11" t="s">
        <v>1346</v>
      </c>
      <c r="F1569" s="107"/>
      <c r="G1569" s="10">
        <v>1</v>
      </c>
      <c r="H1569" s="103">
        <v>2.95</v>
      </c>
      <c r="I1569" s="108">
        <f>Tableau3[[#This Row],[Stock final]]*Tableau3[[#This Row],[P.U.]]</f>
        <v>2.95</v>
      </c>
      <c r="J1569" s="184"/>
    </row>
    <row r="1570" spans="1:10" ht="19.350000000000001" customHeight="1">
      <c r="A1570" s="102" t="s">
        <v>1284</v>
      </c>
      <c r="B1570" s="102" t="s">
        <v>1566</v>
      </c>
      <c r="C1570" s="116" t="s">
        <v>1565</v>
      </c>
      <c r="D1570" s="11" t="s">
        <v>1347</v>
      </c>
      <c r="F1570" s="107"/>
      <c r="G1570" s="10">
        <v>5</v>
      </c>
      <c r="H1570" s="103">
        <v>1.4</v>
      </c>
      <c r="I1570" s="108">
        <f>Tableau3[[#This Row],[Stock final]]*Tableau3[[#This Row],[P.U.]]</f>
        <v>7</v>
      </c>
      <c r="J1570" s="184"/>
    </row>
    <row r="1571" spans="1:10" ht="19.350000000000001" customHeight="1">
      <c r="A1571" s="102" t="s">
        <v>1348</v>
      </c>
      <c r="B1571" s="102" t="s">
        <v>1349</v>
      </c>
      <c r="C1571" s="116" t="s">
        <v>1567</v>
      </c>
      <c r="D1571" s="11" t="s">
        <v>1350</v>
      </c>
      <c r="F1571" s="107"/>
      <c r="G1571" s="10">
        <v>2</v>
      </c>
      <c r="H1571" s="103">
        <v>6.08</v>
      </c>
      <c r="I1571" s="108">
        <f>Tableau3[[#This Row],[Stock final]]*Tableau3[[#This Row],[P.U.]]</f>
        <v>12.16</v>
      </c>
      <c r="J1571" s="184"/>
    </row>
    <row r="1572" spans="1:10" ht="19.350000000000001" customHeight="1">
      <c r="A1572" s="102" t="s">
        <v>1348</v>
      </c>
      <c r="B1572" s="102" t="s">
        <v>1568</v>
      </c>
      <c r="C1572" s="116" t="s">
        <v>1569</v>
      </c>
      <c r="D1572" s="11" t="s">
        <v>1351</v>
      </c>
      <c r="F1572" s="107"/>
      <c r="G1572" s="10">
        <v>5</v>
      </c>
      <c r="H1572" s="103">
        <v>10.5</v>
      </c>
      <c r="I1572" s="108">
        <f>Tableau3[[#This Row],[Stock final]]*Tableau3[[#This Row],[P.U.]]</f>
        <v>52.5</v>
      </c>
      <c r="J1572" s="184"/>
    </row>
    <row r="1573" spans="1:10" ht="19.350000000000001" customHeight="1">
      <c r="A1573" s="102" t="s">
        <v>1348</v>
      </c>
      <c r="B1573" s="102" t="s">
        <v>1568</v>
      </c>
      <c r="C1573" s="116" t="s">
        <v>1570</v>
      </c>
      <c r="D1573" s="11" t="s">
        <v>1352</v>
      </c>
      <c r="F1573" s="107"/>
      <c r="G1573" s="10">
        <v>9</v>
      </c>
      <c r="H1573" s="103">
        <v>11.5</v>
      </c>
      <c r="I1573" s="108">
        <f>Tableau3[[#This Row],[Stock final]]*Tableau3[[#This Row],[P.U.]]</f>
        <v>103.5</v>
      </c>
      <c r="J1573" s="184"/>
    </row>
    <row r="1574" spans="1:10" ht="19.350000000000001" customHeight="1">
      <c r="A1574" s="102" t="s">
        <v>1348</v>
      </c>
      <c r="B1574" s="102" t="s">
        <v>1329</v>
      </c>
      <c r="C1574" s="116" t="s">
        <v>1353</v>
      </c>
      <c r="D1574" s="11" t="s">
        <v>1354</v>
      </c>
      <c r="F1574" s="107"/>
      <c r="G1574" s="10">
        <v>20</v>
      </c>
      <c r="H1574" s="103">
        <v>2</v>
      </c>
      <c r="I1574" s="108">
        <f>Tableau3[[#This Row],[Stock final]]*Tableau3[[#This Row],[P.U.]]</f>
        <v>40</v>
      </c>
      <c r="J1574" s="184"/>
    </row>
    <row r="1575" spans="1:10" ht="19.350000000000001" customHeight="1">
      <c r="A1575" s="102" t="s">
        <v>1348</v>
      </c>
      <c r="B1575" s="102" t="s">
        <v>1246</v>
      </c>
      <c r="C1575" s="116" t="s">
        <v>1571</v>
      </c>
      <c r="D1575" s="11" t="s">
        <v>1356</v>
      </c>
      <c r="F1575" s="107"/>
      <c r="G1575" s="10">
        <v>1</v>
      </c>
      <c r="H1575" s="103">
        <v>10.47</v>
      </c>
      <c r="I1575" s="108">
        <f>Tableau3[[#This Row],[Stock final]]*Tableau3[[#This Row],[P.U.]]</f>
        <v>10.47</v>
      </c>
      <c r="J1575" s="184"/>
    </row>
    <row r="1576" spans="1:10" ht="19.350000000000001" customHeight="1">
      <c r="A1576" s="102" t="s">
        <v>1355</v>
      </c>
      <c r="B1576" s="102" t="s">
        <v>1246</v>
      </c>
      <c r="C1576" s="116" t="s">
        <v>1554</v>
      </c>
      <c r="D1576" s="11" t="s">
        <v>1357</v>
      </c>
      <c r="F1576" s="107"/>
      <c r="G1576" s="10">
        <v>29</v>
      </c>
      <c r="H1576" s="103">
        <v>6.15</v>
      </c>
      <c r="I1576" s="108">
        <f>Tableau3[[#This Row],[Stock final]]*Tableau3[[#This Row],[P.U.]]</f>
        <v>178.35000000000002</v>
      </c>
      <c r="J1576" s="184"/>
    </row>
    <row r="1577" spans="1:10" ht="19.350000000000001" customHeight="1">
      <c r="A1577" s="102" t="s">
        <v>1355</v>
      </c>
      <c r="B1577" s="102" t="s">
        <v>1246</v>
      </c>
      <c r="C1577" s="116" t="s">
        <v>1553</v>
      </c>
      <c r="D1577" s="11" t="s">
        <v>1358</v>
      </c>
      <c r="F1577" s="107"/>
      <c r="G1577" s="10">
        <v>21</v>
      </c>
      <c r="H1577" s="103">
        <v>7.17</v>
      </c>
      <c r="I1577" s="108">
        <f>Tableau3[[#This Row],[Stock final]]*Tableau3[[#This Row],[P.U.]]</f>
        <v>150.57</v>
      </c>
      <c r="J1577" s="184"/>
    </row>
    <row r="1578" spans="1:10" ht="19.350000000000001" customHeight="1">
      <c r="A1578" s="102" t="s">
        <v>1355</v>
      </c>
      <c r="B1578" s="102" t="s">
        <v>1246</v>
      </c>
      <c r="C1578" s="116" t="s">
        <v>1555</v>
      </c>
      <c r="D1578" s="11" t="s">
        <v>1359</v>
      </c>
      <c r="F1578" s="107"/>
      <c r="G1578" s="10">
        <v>2</v>
      </c>
      <c r="H1578" s="103">
        <v>9.09</v>
      </c>
      <c r="I1578" s="108">
        <f>Tableau3[[#This Row],[Stock final]]*Tableau3[[#This Row],[P.U.]]</f>
        <v>18.18</v>
      </c>
      <c r="J1578" s="184"/>
    </row>
    <row r="1579" spans="1:10" ht="19.350000000000001" customHeight="1">
      <c r="A1579" s="102"/>
      <c r="B1579" s="102"/>
      <c r="C1579" s="116"/>
      <c r="F1579" s="107"/>
      <c r="G1579" s="10"/>
      <c r="H1579" s="103"/>
      <c r="I1579" s="108">
        <f>Tableau3[[#This Row],[Stock final]]*Tableau3[[#This Row],[P.U.]]</f>
        <v>0</v>
      </c>
      <c r="J1579" s="184"/>
    </row>
    <row r="1580" spans="1:10" ht="19.350000000000001" customHeight="1">
      <c r="A1580" s="102" t="s">
        <v>1360</v>
      </c>
      <c r="B1580" s="102" t="s">
        <v>1361</v>
      </c>
      <c r="C1580" s="116" t="s">
        <v>1362</v>
      </c>
      <c r="D1580" s="11" t="s">
        <v>1365</v>
      </c>
      <c r="E1580" s="113" t="s">
        <v>1363</v>
      </c>
      <c r="F1580" s="107"/>
      <c r="G1580" s="10">
        <v>1</v>
      </c>
      <c r="H1580" s="103"/>
      <c r="I1580" s="108">
        <f>Tableau3[[#This Row],[Stock final]]*Tableau3[[#This Row],[P.U.]]</f>
        <v>0</v>
      </c>
      <c r="J1580" s="184" t="s">
        <v>1487</v>
      </c>
    </row>
    <row r="1581" spans="1:10" ht="19.350000000000001" customHeight="1">
      <c r="A1581" s="102" t="s">
        <v>1360</v>
      </c>
      <c r="B1581" s="102" t="s">
        <v>1361</v>
      </c>
      <c r="C1581" s="116" t="s">
        <v>1364</v>
      </c>
      <c r="D1581" s="11" t="s">
        <v>1366</v>
      </c>
      <c r="E1581" s="113" t="s">
        <v>1367</v>
      </c>
      <c r="F1581" s="107"/>
      <c r="G1581" s="10">
        <v>1</v>
      </c>
      <c r="H1581" s="103">
        <v>49.9</v>
      </c>
      <c r="I1581" s="108">
        <f>Tableau3[[#This Row],[Stock final]]*Tableau3[[#This Row],[P.U.]]</f>
        <v>49.9</v>
      </c>
      <c r="J1581" s="184"/>
    </row>
    <row r="1582" spans="1:10" ht="19.350000000000001" customHeight="1">
      <c r="A1582" s="102" t="s">
        <v>1360</v>
      </c>
      <c r="B1582" s="102" t="s">
        <v>1361</v>
      </c>
      <c r="C1582" s="116" t="s">
        <v>1368</v>
      </c>
      <c r="D1582" s="11" t="s">
        <v>1366</v>
      </c>
      <c r="E1582" s="113" t="s">
        <v>1363</v>
      </c>
      <c r="F1582" s="107"/>
      <c r="G1582" s="10">
        <v>2</v>
      </c>
      <c r="H1582" s="103">
        <v>49.9</v>
      </c>
      <c r="I1582" s="108">
        <f>Tableau3[[#This Row],[Stock final]]*Tableau3[[#This Row],[P.U.]]</f>
        <v>99.8</v>
      </c>
      <c r="J1582" s="184"/>
    </row>
    <row r="1583" spans="1:10" ht="19.350000000000001" customHeight="1">
      <c r="A1583" s="102" t="s">
        <v>1360</v>
      </c>
      <c r="B1583" s="102" t="s">
        <v>1361</v>
      </c>
      <c r="C1583" s="116" t="s">
        <v>1369</v>
      </c>
      <c r="D1583" s="11" t="s">
        <v>1365</v>
      </c>
      <c r="E1583" s="113" t="s">
        <v>315</v>
      </c>
      <c r="F1583" s="107"/>
      <c r="G1583" s="10">
        <v>3</v>
      </c>
      <c r="H1583" s="103">
        <v>209.48</v>
      </c>
      <c r="I1583" s="108">
        <f>Tableau3[[#This Row],[Stock final]]*Tableau3[[#This Row],[P.U.]]</f>
        <v>628.43999999999994</v>
      </c>
      <c r="J1583" s="184"/>
    </row>
    <row r="1584" spans="1:10" ht="19.350000000000001" customHeight="1">
      <c r="A1584" s="102" t="s">
        <v>1360</v>
      </c>
      <c r="B1584" s="102" t="s">
        <v>1361</v>
      </c>
      <c r="C1584" s="116" t="s">
        <v>1370</v>
      </c>
      <c r="D1584" s="11" t="s">
        <v>1371</v>
      </c>
      <c r="E1584" s="113" t="s">
        <v>1040</v>
      </c>
      <c r="F1584" s="107"/>
      <c r="G1584" s="10">
        <v>1</v>
      </c>
      <c r="H1584" s="103">
        <v>128.18</v>
      </c>
      <c r="I1584" s="108">
        <f>Tableau3[[#This Row],[Stock final]]*Tableau3[[#This Row],[P.U.]]</f>
        <v>128.18</v>
      </c>
      <c r="J1584" s="184"/>
    </row>
    <row r="1585" spans="1:10" ht="19.350000000000001" customHeight="1">
      <c r="A1585" s="102" t="s">
        <v>1360</v>
      </c>
      <c r="B1585" s="102" t="s">
        <v>1361</v>
      </c>
      <c r="C1585" s="116" t="s">
        <v>1372</v>
      </c>
      <c r="D1585" s="11" t="s">
        <v>1373</v>
      </c>
      <c r="E1585" s="113" t="s">
        <v>1363</v>
      </c>
      <c r="F1585" s="107"/>
      <c r="G1585" s="10">
        <v>7</v>
      </c>
      <c r="H1585" s="103">
        <v>158.75</v>
      </c>
      <c r="I1585" s="108">
        <f>Tableau3[[#This Row],[Stock final]]*Tableau3[[#This Row],[P.U.]]</f>
        <v>1111.25</v>
      </c>
      <c r="J1585" s="184"/>
    </row>
    <row r="1586" spans="1:10" ht="19.350000000000001" customHeight="1">
      <c r="A1586" s="102" t="s">
        <v>1360</v>
      </c>
      <c r="B1586" s="102" t="s">
        <v>1361</v>
      </c>
      <c r="C1586" s="116" t="s">
        <v>1374</v>
      </c>
      <c r="D1586" s="11" t="s">
        <v>1375</v>
      </c>
      <c r="E1586" s="113" t="s">
        <v>341</v>
      </c>
      <c r="F1586" s="107"/>
      <c r="G1586" s="10">
        <v>1</v>
      </c>
      <c r="H1586" s="103"/>
      <c r="I1586" s="108">
        <f>Tableau3[[#This Row],[Stock final]]*Tableau3[[#This Row],[P.U.]]</f>
        <v>0</v>
      </c>
      <c r="J1586" s="184" t="s">
        <v>1487</v>
      </c>
    </row>
    <row r="1587" spans="1:10" ht="19.350000000000001" customHeight="1">
      <c r="A1587" s="102"/>
      <c r="B1587" s="102"/>
      <c r="C1587" s="116"/>
      <c r="F1587" s="107"/>
      <c r="G1587" s="10"/>
      <c r="H1587" s="103"/>
      <c r="I1587" s="108">
        <f>Tableau3[[#This Row],[Stock final]]*Tableau3[[#This Row],[P.U.]]</f>
        <v>0</v>
      </c>
      <c r="J1587" s="184"/>
    </row>
    <row r="1588" spans="1:10" ht="19.350000000000001" customHeight="1">
      <c r="A1588" s="102" t="s">
        <v>1360</v>
      </c>
      <c r="B1588" s="102" t="s">
        <v>1376</v>
      </c>
      <c r="C1588" s="116" t="s">
        <v>1377</v>
      </c>
      <c r="D1588" s="11" t="s">
        <v>1378</v>
      </c>
      <c r="F1588" s="107"/>
      <c r="G1588" s="10">
        <v>3</v>
      </c>
      <c r="H1588" s="103">
        <v>313.35000000000002</v>
      </c>
      <c r="I1588" s="108">
        <f>Tableau3[[#This Row],[Stock final]]*Tableau3[[#This Row],[P.U.]]</f>
        <v>940.05000000000007</v>
      </c>
      <c r="J1588" s="184"/>
    </row>
    <row r="1589" spans="1:10" ht="19.350000000000001" customHeight="1">
      <c r="A1589" s="102"/>
      <c r="B1589" s="102"/>
      <c r="C1589" s="116"/>
      <c r="F1589" s="107"/>
      <c r="G1589" s="10"/>
      <c r="H1589" s="103"/>
      <c r="I1589" s="108">
        <f>Tableau3[[#This Row],[Stock final]]*Tableau3[[#This Row],[P.U.]]</f>
        <v>0</v>
      </c>
      <c r="J1589" s="184"/>
    </row>
    <row r="1590" spans="1:10" ht="19.350000000000001" customHeight="1">
      <c r="A1590" s="102" t="s">
        <v>1379</v>
      </c>
      <c r="B1590" s="105" t="s">
        <v>1107</v>
      </c>
      <c r="C1590" s="116" t="s">
        <v>1108</v>
      </c>
      <c r="D1590" s="114" t="s">
        <v>1109</v>
      </c>
      <c r="F1590" s="107"/>
      <c r="G1590" s="10"/>
      <c r="H1590" s="103"/>
      <c r="I1590" s="108">
        <f>Tableau3[[#This Row],[Stock final]]*Tableau3[[#This Row],[P.U.]]</f>
        <v>0</v>
      </c>
      <c r="J1590" s="184"/>
    </row>
    <row r="1591" spans="1:10" ht="19.350000000000001" customHeight="1">
      <c r="A1591" s="102" t="s">
        <v>1379</v>
      </c>
      <c r="B1591" s="102" t="s">
        <v>1107</v>
      </c>
      <c r="C1591" s="116" t="s">
        <v>1110</v>
      </c>
      <c r="D1591" s="114" t="s">
        <v>1111</v>
      </c>
      <c r="F1591" s="107"/>
      <c r="G1591" s="10">
        <v>3</v>
      </c>
      <c r="H1591" s="103">
        <v>59.94</v>
      </c>
      <c r="I1591" s="108">
        <f>Tableau3[[#This Row],[Stock final]]*Tableau3[[#This Row],[P.U.]]</f>
        <v>179.82</v>
      </c>
      <c r="J1591" s="184"/>
    </row>
    <row r="1592" spans="1:10" ht="19.350000000000001" customHeight="1">
      <c r="A1592" s="102" t="s">
        <v>1379</v>
      </c>
      <c r="B1592" s="102" t="s">
        <v>1107</v>
      </c>
      <c r="C1592" s="116" t="s">
        <v>1112</v>
      </c>
      <c r="D1592" s="114" t="s">
        <v>1113</v>
      </c>
      <c r="E1592" s="113" t="s">
        <v>341</v>
      </c>
      <c r="F1592" s="107"/>
      <c r="G1592" s="10">
        <v>1</v>
      </c>
      <c r="H1592" s="103">
        <v>23.07</v>
      </c>
      <c r="I1592" s="108">
        <f>Tableau3[[#This Row],[Stock final]]*Tableau3[[#This Row],[P.U.]]</f>
        <v>23.07</v>
      </c>
      <c r="J1592" s="184"/>
    </row>
    <row r="1593" spans="1:10" ht="19.350000000000001" customHeight="1">
      <c r="A1593" s="102" t="s">
        <v>1379</v>
      </c>
      <c r="B1593" s="102" t="s">
        <v>1107</v>
      </c>
      <c r="C1593" s="116" t="s">
        <v>1114</v>
      </c>
      <c r="D1593" s="114" t="s">
        <v>1115</v>
      </c>
      <c r="F1593" s="107"/>
      <c r="G1593" s="10">
        <v>2</v>
      </c>
      <c r="H1593" s="103">
        <v>15.66</v>
      </c>
      <c r="I1593" s="108">
        <f>Tableau3[[#This Row],[Stock final]]*Tableau3[[#This Row],[P.U.]]</f>
        <v>31.32</v>
      </c>
      <c r="J1593" s="184"/>
    </row>
    <row r="1594" spans="1:10" ht="19.350000000000001" customHeight="1">
      <c r="A1594" s="102" t="s">
        <v>1380</v>
      </c>
      <c r="B1594" s="102" t="s">
        <v>1107</v>
      </c>
      <c r="C1594" s="116">
        <v>6201041</v>
      </c>
      <c r="D1594" s="114" t="s">
        <v>1116</v>
      </c>
      <c r="E1594" s="113" t="s">
        <v>341</v>
      </c>
      <c r="F1594" s="107"/>
      <c r="G1594" s="10">
        <v>95</v>
      </c>
      <c r="H1594" s="103">
        <v>17.940000000000001</v>
      </c>
      <c r="I1594" s="108">
        <f>Tableau3[[#This Row],[Stock final]]*Tableau3[[#This Row],[P.U.]]</f>
        <v>1704.3000000000002</v>
      </c>
      <c r="J1594" s="184"/>
    </row>
    <row r="1595" spans="1:10" ht="19.350000000000001" customHeight="1">
      <c r="A1595" s="102" t="s">
        <v>1381</v>
      </c>
      <c r="B1595" s="102" t="s">
        <v>1107</v>
      </c>
      <c r="C1595" s="116">
        <v>6805050</v>
      </c>
      <c r="D1595" s="114" t="s">
        <v>1117</v>
      </c>
      <c r="E1595" s="113" t="s">
        <v>328</v>
      </c>
      <c r="F1595" s="107"/>
      <c r="G1595" s="10">
        <v>6</v>
      </c>
      <c r="H1595" s="103">
        <v>34.200000000000003</v>
      </c>
      <c r="I1595" s="108">
        <f>Tableau3[[#This Row],[Stock final]]*Tableau3[[#This Row],[P.U.]]</f>
        <v>205.20000000000002</v>
      </c>
      <c r="J1595" s="184"/>
    </row>
    <row r="1596" spans="1:10" ht="19.350000000000001" customHeight="1">
      <c r="A1596" s="102" t="s">
        <v>1381</v>
      </c>
      <c r="B1596" s="102" t="s">
        <v>1107</v>
      </c>
      <c r="C1596" s="116">
        <v>6805100</v>
      </c>
      <c r="D1596" s="114" t="s">
        <v>1118</v>
      </c>
      <c r="E1596" s="113" t="s">
        <v>315</v>
      </c>
      <c r="F1596" s="107"/>
      <c r="G1596" s="10">
        <v>5</v>
      </c>
      <c r="H1596" s="103">
        <v>55.8</v>
      </c>
      <c r="I1596" s="108">
        <f>Tableau3[[#This Row],[Stock final]]*Tableau3[[#This Row],[P.U.]]</f>
        <v>279</v>
      </c>
      <c r="J1596" s="184"/>
    </row>
    <row r="1597" spans="1:10" ht="19.350000000000001" customHeight="1">
      <c r="A1597" s="102"/>
      <c r="B1597" s="102" t="s">
        <v>1107</v>
      </c>
      <c r="C1597" s="116">
        <v>6809002</v>
      </c>
      <c r="D1597" s="114" t="s">
        <v>1119</v>
      </c>
      <c r="E1597" s="113" t="s">
        <v>315</v>
      </c>
      <c r="F1597" s="107"/>
      <c r="G1597" s="10"/>
      <c r="H1597" s="103">
        <v>13.2</v>
      </c>
      <c r="I1597" s="108">
        <f>Tableau3[[#This Row],[Stock final]]*Tableau3[[#This Row],[P.U.]]</f>
        <v>0</v>
      </c>
      <c r="J1597" s="184"/>
    </row>
    <row r="1598" spans="1:10" ht="19.350000000000001" customHeight="1">
      <c r="A1598" s="102"/>
      <c r="B1598" s="102"/>
      <c r="C1598" s="116"/>
      <c r="F1598" s="107"/>
      <c r="G1598" s="10"/>
      <c r="H1598" s="103"/>
      <c r="I1598" s="108">
        <f>Tableau3[[#This Row],[Stock final]]*Tableau3[[#This Row],[P.U.]]</f>
        <v>0</v>
      </c>
      <c r="J1598" s="184"/>
    </row>
    <row r="1599" spans="1:10" ht="19.350000000000001" customHeight="1">
      <c r="A1599" s="102" t="s">
        <v>1379</v>
      </c>
      <c r="B1599" s="102" t="s">
        <v>1107</v>
      </c>
      <c r="C1599" s="116" t="s">
        <v>1382</v>
      </c>
      <c r="D1599" s="11" t="s">
        <v>1383</v>
      </c>
      <c r="E1599" s="113" t="s">
        <v>341</v>
      </c>
      <c r="F1599" s="107"/>
      <c r="G1599" s="10">
        <v>3</v>
      </c>
      <c r="H1599" s="103">
        <v>23.07</v>
      </c>
      <c r="I1599" s="108">
        <f>Tableau3[[#This Row],[Stock final]]*Tableau3[[#This Row],[P.U.]]</f>
        <v>69.210000000000008</v>
      </c>
      <c r="J1599" s="184"/>
    </row>
    <row r="1600" spans="1:10" ht="19.350000000000001" customHeight="1">
      <c r="A1600" s="102"/>
      <c r="B1600" s="102" t="s">
        <v>1107</v>
      </c>
      <c r="C1600" s="116">
        <v>6809001</v>
      </c>
      <c r="D1600" s="11" t="s">
        <v>1384</v>
      </c>
      <c r="E1600" s="113" t="s">
        <v>341</v>
      </c>
      <c r="F1600" s="107"/>
      <c r="G1600" s="10">
        <v>1</v>
      </c>
      <c r="H1600" s="103">
        <v>13.2</v>
      </c>
      <c r="I1600" s="108">
        <f>Tableau3[[#This Row],[Stock final]]*Tableau3[[#This Row],[P.U.]]</f>
        <v>13.2</v>
      </c>
      <c r="J1600" s="184"/>
    </row>
    <row r="1601" spans="1:10" ht="19.350000000000001" customHeight="1">
      <c r="A1601" s="102" t="s">
        <v>1381</v>
      </c>
      <c r="B1601" s="102"/>
      <c r="C1601" s="116"/>
      <c r="F1601" s="107"/>
      <c r="G1601" s="10"/>
      <c r="H1601" s="103"/>
      <c r="I1601" s="108">
        <f>Tableau3[[#This Row],[Stock final]]*Tableau3[[#This Row],[P.U.]]</f>
        <v>0</v>
      </c>
      <c r="J1601" s="184"/>
    </row>
    <row r="1602" spans="1:10" ht="19.350000000000001" customHeight="1">
      <c r="A1602" s="102"/>
      <c r="B1602" s="102"/>
      <c r="C1602" s="116"/>
      <c r="F1602" s="107"/>
      <c r="G1602" s="10"/>
      <c r="H1602" s="103"/>
      <c r="I1602" s="108">
        <f>Tableau3[[#This Row],[Stock final]]*Tableau3[[#This Row],[P.U.]]</f>
        <v>0</v>
      </c>
      <c r="J1602" s="184"/>
    </row>
    <row r="1603" spans="1:10" ht="19.350000000000001" customHeight="1">
      <c r="A1603" s="102"/>
      <c r="B1603" s="102"/>
      <c r="C1603" s="116"/>
      <c r="F1603" s="107"/>
      <c r="G1603" s="10"/>
      <c r="H1603" s="103"/>
      <c r="I1603" s="108">
        <f>Tableau3[[#This Row],[Stock final]]*Tableau3[[#This Row],[P.U.]]</f>
        <v>0</v>
      </c>
      <c r="J1603" s="184"/>
    </row>
    <row r="1604" spans="1:10" ht="19.350000000000001" customHeight="1">
      <c r="A1604" s="102"/>
      <c r="B1604" s="102"/>
      <c r="C1604" s="116"/>
      <c r="F1604" s="107"/>
      <c r="G1604" s="10"/>
      <c r="H1604" s="103"/>
      <c r="I1604" s="108">
        <f>Tableau3[[#This Row],[Stock final]]*Tableau3[[#This Row],[P.U.]]</f>
        <v>0</v>
      </c>
      <c r="J1604" s="184"/>
    </row>
    <row r="1605" spans="1:10" ht="19.350000000000001" customHeight="1">
      <c r="A1605" s="102"/>
      <c r="B1605" s="102"/>
      <c r="C1605" s="116"/>
      <c r="F1605" s="107"/>
      <c r="G1605" s="10"/>
      <c r="H1605" s="103"/>
      <c r="I1605" s="108">
        <f>Tableau3[[#This Row],[Stock final]]*Tableau3[[#This Row],[P.U.]]</f>
        <v>0</v>
      </c>
      <c r="J1605" s="184"/>
    </row>
    <row r="1606" spans="1:10" ht="19.350000000000001" customHeight="1">
      <c r="A1606" s="102" t="s">
        <v>1587</v>
      </c>
      <c r="B1606" s="102" t="s">
        <v>1588</v>
      </c>
      <c r="C1606" s="116" t="s">
        <v>1589</v>
      </c>
      <c r="D1606" s="11" t="s">
        <v>1590</v>
      </c>
      <c r="E1606" s="113" t="s">
        <v>14</v>
      </c>
      <c r="F1606" s="107"/>
      <c r="G1606" s="10">
        <v>20</v>
      </c>
      <c r="H1606" s="103">
        <v>1.18</v>
      </c>
      <c r="I1606" s="108">
        <f>Tableau3[[#This Row],[Stock final]]*Tableau3[[#This Row],[P.U.]]</f>
        <v>23.599999999999998</v>
      </c>
      <c r="J1606" s="184"/>
    </row>
    <row r="1607" spans="1:10" ht="19.350000000000001" customHeight="1">
      <c r="A1607" s="102" t="s">
        <v>1587</v>
      </c>
      <c r="B1607" s="102" t="s">
        <v>1588</v>
      </c>
      <c r="C1607" s="116" t="s">
        <v>1591</v>
      </c>
      <c r="D1607" s="11" t="s">
        <v>1592</v>
      </c>
      <c r="E1607" s="113" t="s">
        <v>14</v>
      </c>
      <c r="F1607" s="107"/>
      <c r="G1607" s="10">
        <v>10</v>
      </c>
      <c r="H1607" s="103">
        <v>1.57</v>
      </c>
      <c r="I1607" s="108">
        <f>Tableau3[[#This Row],[Stock final]]*Tableau3[[#This Row],[P.U.]]</f>
        <v>15.700000000000001</v>
      </c>
      <c r="J1607" s="184"/>
    </row>
    <row r="1608" spans="1:10" ht="19.350000000000001" customHeight="1">
      <c r="A1608" s="102" t="s">
        <v>1587</v>
      </c>
      <c r="B1608" s="102" t="s">
        <v>1588</v>
      </c>
      <c r="C1608" s="116" t="s">
        <v>1593</v>
      </c>
      <c r="D1608" s="11" t="s">
        <v>1594</v>
      </c>
      <c r="E1608" s="113" t="s">
        <v>14</v>
      </c>
      <c r="F1608" s="107"/>
      <c r="G1608" s="10">
        <v>10</v>
      </c>
      <c r="H1608" s="103">
        <v>2.04</v>
      </c>
      <c r="I1608" s="108">
        <f>Tableau3[[#This Row],[Stock final]]*Tableau3[[#This Row],[P.U.]]</f>
        <v>20.399999999999999</v>
      </c>
      <c r="J1608" s="184"/>
    </row>
    <row r="1609" spans="1:10" ht="19.350000000000001" customHeight="1">
      <c r="A1609" s="102" t="s">
        <v>1595</v>
      </c>
      <c r="B1609" s="102" t="s">
        <v>1596</v>
      </c>
      <c r="C1609" s="116" t="s">
        <v>1597</v>
      </c>
      <c r="D1609" s="11" t="s">
        <v>1598</v>
      </c>
      <c r="F1609" s="107"/>
      <c r="G1609" s="10">
        <v>7</v>
      </c>
      <c r="H1609" s="103">
        <v>108.16</v>
      </c>
      <c r="I1609" s="108">
        <f>Tableau3[[#This Row],[Stock final]]*Tableau3[[#This Row],[P.U.]]</f>
        <v>757.12</v>
      </c>
      <c r="J1609" s="184"/>
    </row>
    <row r="1610" spans="1:10" ht="19.350000000000001" customHeight="1">
      <c r="A1610" s="102" t="s">
        <v>1595</v>
      </c>
      <c r="B1610" s="102" t="s">
        <v>1596</v>
      </c>
      <c r="C1610" s="116" t="s">
        <v>1599</v>
      </c>
      <c r="D1610" s="11" t="s">
        <v>1600</v>
      </c>
      <c r="F1610" s="107"/>
      <c r="G1610" s="10"/>
      <c r="H1610" s="103">
        <v>90.29</v>
      </c>
      <c r="I1610" s="108">
        <f>Tableau3[[#This Row],[Stock final]]*Tableau3[[#This Row],[P.U.]]</f>
        <v>0</v>
      </c>
      <c r="J1610" s="184"/>
    </row>
    <row r="1611" spans="1:10" ht="19.350000000000001" customHeight="1">
      <c r="A1611" s="102" t="s">
        <v>1595</v>
      </c>
      <c r="B1611" s="102" t="s">
        <v>1596</v>
      </c>
      <c r="C1611" s="116" t="s">
        <v>1601</v>
      </c>
      <c r="D1611" s="11" t="s">
        <v>1602</v>
      </c>
      <c r="F1611" s="107"/>
      <c r="G1611" s="10">
        <v>1</v>
      </c>
      <c r="H1611" s="103">
        <v>86.04</v>
      </c>
      <c r="I1611" s="108">
        <f>Tableau3[[#This Row],[Stock final]]*Tableau3[[#This Row],[P.U.]]</f>
        <v>86.04</v>
      </c>
      <c r="J1611" s="184"/>
    </row>
    <row r="1612" spans="1:10" ht="19.350000000000001" customHeight="1">
      <c r="A1612" s="102" t="s">
        <v>1595</v>
      </c>
      <c r="B1612" s="102" t="s">
        <v>1596</v>
      </c>
      <c r="C1612" s="116" t="s">
        <v>1603</v>
      </c>
      <c r="D1612" s="11" t="s">
        <v>1604</v>
      </c>
      <c r="F1612" s="107"/>
      <c r="G1612" s="10">
        <v>2</v>
      </c>
      <c r="H1612" s="103">
        <v>126.89</v>
      </c>
      <c r="I1612" s="108">
        <f>Tableau3[[#This Row],[Stock final]]*Tableau3[[#This Row],[P.U.]]</f>
        <v>253.78</v>
      </c>
      <c r="J1612" s="184"/>
    </row>
    <row r="1613" spans="1:10" ht="19.350000000000001" customHeight="1">
      <c r="A1613" s="102" t="s">
        <v>1595</v>
      </c>
      <c r="B1613" s="102" t="s">
        <v>1596</v>
      </c>
      <c r="C1613" s="116" t="s">
        <v>1605</v>
      </c>
      <c r="D1613" s="11" t="s">
        <v>1606</v>
      </c>
      <c r="F1613" s="107"/>
      <c r="G1613" s="10">
        <v>1</v>
      </c>
      <c r="H1613" s="103">
        <v>82.87</v>
      </c>
      <c r="I1613" s="108">
        <f>Tableau3[[#This Row],[Stock final]]*Tableau3[[#This Row],[P.U.]]</f>
        <v>82.87</v>
      </c>
      <c r="J1613" s="184"/>
    </row>
    <row r="1614" spans="1:10" ht="19.350000000000001" customHeight="1">
      <c r="A1614" s="102" t="s">
        <v>1595</v>
      </c>
      <c r="B1614" s="102" t="s">
        <v>1596</v>
      </c>
      <c r="C1614" s="116" t="s">
        <v>1614</v>
      </c>
      <c r="D1614" s="11" t="s">
        <v>1615</v>
      </c>
      <c r="F1614" s="107"/>
      <c r="G1614" s="10"/>
      <c r="H1614" s="103">
        <v>151.09</v>
      </c>
      <c r="I1614" s="108">
        <f>Tableau3[[#This Row],[Stock final]]*Tableau3[[#This Row],[P.U.]]</f>
        <v>0</v>
      </c>
      <c r="J1614" s="184"/>
    </row>
    <row r="1615" spans="1:10" ht="19.350000000000001" customHeight="1">
      <c r="A1615" s="102" t="s">
        <v>1607</v>
      </c>
      <c r="B1615" s="102" t="s">
        <v>1596</v>
      </c>
      <c r="C1615" s="116" t="s">
        <v>1608</v>
      </c>
      <c r="D1615" s="11" t="s">
        <v>1609</v>
      </c>
      <c r="F1615" s="107"/>
      <c r="G1615" s="10"/>
      <c r="H1615" s="103">
        <v>190.58</v>
      </c>
      <c r="I1615" s="108">
        <f>Tableau3[[#This Row],[Stock final]]*Tableau3[[#This Row],[P.U.]]</f>
        <v>0</v>
      </c>
      <c r="J1615" s="184"/>
    </row>
    <row r="1616" spans="1:10" ht="19.350000000000001" customHeight="1">
      <c r="A1616" s="102" t="s">
        <v>1607</v>
      </c>
      <c r="B1616" s="102" t="s">
        <v>1596</v>
      </c>
      <c r="C1616" s="116" t="s">
        <v>1610</v>
      </c>
      <c r="D1616" s="11" t="s">
        <v>1611</v>
      </c>
      <c r="F1616" s="107"/>
      <c r="G1616" s="10">
        <v>5</v>
      </c>
      <c r="H1616" s="103">
        <v>226.85</v>
      </c>
      <c r="I1616" s="108">
        <f>Tableau3[[#This Row],[Stock final]]*Tableau3[[#This Row],[P.U.]]</f>
        <v>1134.25</v>
      </c>
      <c r="J1616" s="184"/>
    </row>
    <row r="1617" spans="1:10" ht="19.350000000000001" customHeight="1">
      <c r="A1617" s="102" t="s">
        <v>1607</v>
      </c>
      <c r="B1617" s="102" t="s">
        <v>1596</v>
      </c>
      <c r="C1617" s="116" t="s">
        <v>1618</v>
      </c>
      <c r="D1617" s="11" t="s">
        <v>1619</v>
      </c>
      <c r="F1617" s="107"/>
      <c r="G1617" s="10"/>
      <c r="H1617" s="103">
        <v>165.85</v>
      </c>
      <c r="I1617" s="108">
        <f>Tableau3[[#This Row],[Stock final]]*Tableau3[[#This Row],[P.U.]]</f>
        <v>0</v>
      </c>
      <c r="J1617" s="184"/>
    </row>
    <row r="1618" spans="1:10" ht="19.350000000000001" customHeight="1">
      <c r="A1618" s="102" t="s">
        <v>1607</v>
      </c>
      <c r="B1618" s="102" t="s">
        <v>1596</v>
      </c>
      <c r="C1618" s="116" t="s">
        <v>1612</v>
      </c>
      <c r="D1618" s="11" t="s">
        <v>1613</v>
      </c>
      <c r="F1618" s="107"/>
      <c r="G1618" s="10"/>
      <c r="H1618" s="103">
        <v>99.46</v>
      </c>
      <c r="I1618" s="108">
        <f>Tableau3[[#This Row],[Stock final]]*Tableau3[[#This Row],[P.U.]]</f>
        <v>0</v>
      </c>
      <c r="J1618" s="184"/>
    </row>
    <row r="1619" spans="1:10" ht="19.350000000000001" customHeight="1">
      <c r="A1619" s="102" t="s">
        <v>1607</v>
      </c>
      <c r="B1619" s="102" t="s">
        <v>1596</v>
      </c>
      <c r="C1619" s="116" t="s">
        <v>1616</v>
      </c>
      <c r="D1619" s="11" t="s">
        <v>1617</v>
      </c>
      <c r="F1619" s="107"/>
      <c r="G1619" s="10"/>
      <c r="H1619" s="103">
        <v>177.7</v>
      </c>
      <c r="I1619" s="108">
        <f>Tableau3[[#This Row],[Stock final]]*Tableau3[[#This Row],[P.U.]]</f>
        <v>0</v>
      </c>
      <c r="J1619" s="184"/>
    </row>
    <row r="1620" spans="1:10" ht="19.350000000000001" customHeight="1">
      <c r="A1620" s="102" t="s">
        <v>1627</v>
      </c>
      <c r="B1620" s="102" t="s">
        <v>1628</v>
      </c>
      <c r="C1620" s="116" t="s">
        <v>1630</v>
      </c>
      <c r="D1620" s="11" t="s">
        <v>1629</v>
      </c>
      <c r="F1620" s="107"/>
      <c r="G1620" s="10">
        <v>6</v>
      </c>
      <c r="H1620" s="103">
        <v>10.63</v>
      </c>
      <c r="I1620" s="108">
        <f>Tableau3[[#This Row],[Stock final]]*Tableau3[[#This Row],[P.U.]]</f>
        <v>63.78</v>
      </c>
      <c r="J1620" s="184"/>
    </row>
    <row r="1621" spans="1:10" ht="19.350000000000001" customHeight="1">
      <c r="A1621" s="102" t="s">
        <v>1627</v>
      </c>
      <c r="B1621" s="102"/>
      <c r="C1621" s="116"/>
      <c r="F1621" s="107"/>
      <c r="G1621" s="10"/>
      <c r="H1621" s="103"/>
      <c r="I1621" s="108">
        <f>Tableau3[[#This Row],[Stock final]]*Tableau3[[#This Row],[P.U.]]</f>
        <v>0</v>
      </c>
      <c r="J1621" s="184"/>
    </row>
    <row r="1622" spans="1:10" ht="19.350000000000001" customHeight="1">
      <c r="A1622" s="102"/>
      <c r="B1622" s="102"/>
      <c r="C1622" s="116"/>
      <c r="F1622" s="107"/>
      <c r="G1622" s="10"/>
      <c r="H1622" s="103"/>
      <c r="I1622" s="108">
        <f>Tableau3[[#This Row],[Stock final]]*Tableau3[[#This Row],[P.U.]]</f>
        <v>0</v>
      </c>
      <c r="J1622" s="184"/>
    </row>
    <row r="1623" spans="1:10" ht="19.350000000000001" customHeight="1">
      <c r="A1623" s="102"/>
      <c r="B1623" s="102"/>
      <c r="C1623" s="116"/>
      <c r="F1623" s="107"/>
      <c r="G1623" s="10"/>
      <c r="H1623" s="103"/>
      <c r="I1623" s="108">
        <f>Tableau3[[#This Row],[Stock final]]*Tableau3[[#This Row],[P.U.]]</f>
        <v>0</v>
      </c>
      <c r="J1623" s="184"/>
    </row>
    <row r="1624" spans="1:10" ht="19.350000000000001" customHeight="1">
      <c r="A1624" s="102"/>
      <c r="B1624" s="102"/>
      <c r="C1624" s="116"/>
      <c r="F1624" s="107"/>
      <c r="G1624" s="10"/>
      <c r="H1624" s="103"/>
      <c r="I1624" s="108">
        <f>Tableau3[[#This Row],[Stock final]]*Tableau3[[#This Row],[P.U.]]</f>
        <v>0</v>
      </c>
      <c r="J1624" s="184"/>
    </row>
    <row r="1625" spans="1:10" ht="19.350000000000001" customHeight="1">
      <c r="A1625" s="102"/>
      <c r="B1625" s="102"/>
      <c r="C1625" s="116"/>
      <c r="F1625" s="107"/>
      <c r="G1625" s="10"/>
      <c r="H1625" s="103"/>
      <c r="I1625" s="108">
        <f>Tableau3[[#This Row],[Stock final]]*Tableau3[[#This Row],[P.U.]]</f>
        <v>0</v>
      </c>
      <c r="J1625" s="184"/>
    </row>
    <row r="1626" spans="1:10" ht="19.350000000000001" customHeight="1">
      <c r="A1626" s="102"/>
      <c r="B1626" s="102"/>
      <c r="C1626" s="116"/>
      <c r="F1626" s="107"/>
      <c r="G1626" s="10"/>
      <c r="H1626" s="103"/>
      <c r="I1626" s="108">
        <f>Tableau3[[#This Row],[Stock final]]*Tableau3[[#This Row],[P.U.]]</f>
        <v>0</v>
      </c>
      <c r="J1626" s="184"/>
    </row>
    <row r="1627" spans="1:10" ht="19.350000000000001" customHeight="1">
      <c r="A1627" s="102" t="s">
        <v>1620</v>
      </c>
      <c r="B1627" s="102" t="s">
        <v>1622</v>
      </c>
      <c r="C1627" s="116" t="s">
        <v>1621</v>
      </c>
      <c r="D1627" s="11" t="s">
        <v>1623</v>
      </c>
      <c r="F1627" s="107"/>
      <c r="G1627" s="10">
        <v>1</v>
      </c>
      <c r="H1627" s="103">
        <v>123.03</v>
      </c>
      <c r="I1627" s="108">
        <f>Tableau3[[#This Row],[Stock final]]*Tableau3[[#This Row],[P.U.]]</f>
        <v>123.03</v>
      </c>
      <c r="J1627" s="184"/>
    </row>
    <row r="1628" spans="1:10" ht="19.350000000000001" customHeight="1">
      <c r="A1628" s="102" t="s">
        <v>1620</v>
      </c>
      <c r="B1628" s="102" t="s">
        <v>1626</v>
      </c>
      <c r="C1628" s="116" t="s">
        <v>1625</v>
      </c>
      <c r="D1628" s="11" t="s">
        <v>1624</v>
      </c>
      <c r="F1628" s="107"/>
      <c r="G1628" s="10">
        <v>1</v>
      </c>
      <c r="H1628" s="103">
        <v>217.5</v>
      </c>
      <c r="I1628" s="108">
        <f>Tableau3[[#This Row],[Stock final]]*Tableau3[[#This Row],[P.U.]]</f>
        <v>217.5</v>
      </c>
      <c r="J1628" s="184"/>
    </row>
    <row r="1629" spans="1:10" ht="19.350000000000001" customHeight="1">
      <c r="A1629" s="102"/>
      <c r="B1629" s="102"/>
      <c r="C1629" s="116"/>
      <c r="F1629" s="107"/>
      <c r="G1629" s="10"/>
      <c r="H1629" s="103"/>
      <c r="I1629" s="108">
        <f>Tableau3[[#This Row],[Stock final]]*Tableau3[[#This Row],[P.U.]]</f>
        <v>0</v>
      </c>
      <c r="J1629" s="184"/>
    </row>
    <row r="1630" spans="1:10" ht="19.350000000000001" customHeight="1">
      <c r="A1630" s="102"/>
      <c r="B1630" s="102"/>
      <c r="C1630" s="116"/>
      <c r="F1630" s="107"/>
      <c r="G1630" s="10"/>
      <c r="H1630" s="103"/>
      <c r="I1630" s="108">
        <f>Tableau3[[#This Row],[Stock final]]*Tableau3[[#This Row],[P.U.]]</f>
        <v>0</v>
      </c>
      <c r="J1630" s="184"/>
    </row>
    <row r="1631" spans="1:10" ht="19.350000000000001" customHeight="1">
      <c r="A1631" s="102"/>
      <c r="B1631" s="102"/>
      <c r="C1631" s="116"/>
      <c r="F1631" s="107"/>
      <c r="G1631" s="10"/>
      <c r="H1631" s="103"/>
      <c r="I1631" s="108">
        <f>Tableau3[[#This Row],[Stock final]]*Tableau3[[#This Row],[P.U.]]</f>
        <v>0</v>
      </c>
      <c r="J1631" s="184"/>
    </row>
    <row r="1632" spans="1:10" ht="19.350000000000001" customHeight="1">
      <c r="A1632" s="102"/>
      <c r="B1632" s="102"/>
      <c r="C1632" s="116"/>
      <c r="F1632" s="107"/>
      <c r="G1632" s="10"/>
      <c r="H1632" s="103"/>
      <c r="I1632" s="108">
        <f>Tableau3[[#This Row],[Stock final]]*Tableau3[[#This Row],[P.U.]]</f>
        <v>0</v>
      </c>
      <c r="J1632" s="184"/>
    </row>
    <row r="1633" spans="1:10" ht="19.350000000000001" customHeight="1">
      <c r="A1633" s="102"/>
      <c r="B1633" s="102"/>
      <c r="C1633" s="116"/>
      <c r="F1633" s="107"/>
      <c r="G1633" s="10"/>
      <c r="H1633" s="103"/>
      <c r="I1633" s="108">
        <f>Tableau3[[#This Row],[Stock final]]*Tableau3[[#This Row],[P.U.]]</f>
        <v>0</v>
      </c>
      <c r="J1633" s="184"/>
    </row>
    <row r="1634" spans="1:10" ht="19.350000000000001" customHeight="1">
      <c r="A1634" s="102"/>
      <c r="B1634" s="102"/>
      <c r="C1634" s="116"/>
      <c r="F1634" s="107"/>
      <c r="G1634" s="10"/>
      <c r="H1634" s="103"/>
      <c r="I1634" s="108">
        <f>Tableau3[[#This Row],[Stock final]]*Tableau3[[#This Row],[P.U.]]</f>
        <v>0</v>
      </c>
      <c r="J1634" s="184"/>
    </row>
    <row r="1635" spans="1:10" ht="19.350000000000001" customHeight="1">
      <c r="A1635" s="102"/>
      <c r="B1635" s="102"/>
      <c r="C1635" s="116"/>
      <c r="F1635" s="107"/>
      <c r="G1635" s="10"/>
      <c r="H1635" s="103"/>
      <c r="I1635" s="108">
        <f>Tableau3[[#This Row],[Stock final]]*Tableau3[[#This Row],[P.U.]]</f>
        <v>0</v>
      </c>
      <c r="J1635" s="184"/>
    </row>
    <row r="1636" spans="1:10" ht="19.350000000000001" customHeight="1">
      <c r="A1636" s="102"/>
      <c r="B1636" s="102"/>
      <c r="C1636" s="116"/>
      <c r="F1636" s="107"/>
      <c r="G1636" s="10"/>
      <c r="H1636" s="103"/>
      <c r="I1636" s="108">
        <f>Tableau3[[#This Row],[Stock final]]*Tableau3[[#This Row],[P.U.]]</f>
        <v>0</v>
      </c>
      <c r="J1636" s="184"/>
    </row>
    <row r="1637" spans="1:10" ht="19.350000000000001" customHeight="1">
      <c r="A1637" s="102"/>
      <c r="B1637" s="102"/>
      <c r="C1637" s="116"/>
      <c r="F1637" s="107"/>
      <c r="G1637" s="10"/>
      <c r="H1637" s="103"/>
      <c r="I1637" s="108">
        <f>Tableau3[[#This Row],[Stock final]]*Tableau3[[#This Row],[P.U.]]</f>
        <v>0</v>
      </c>
      <c r="J1637" s="184"/>
    </row>
    <row r="1638" spans="1:10" ht="19.350000000000001" customHeight="1">
      <c r="A1638" s="102"/>
      <c r="B1638" s="102"/>
      <c r="C1638" s="116"/>
      <c r="F1638" s="107"/>
      <c r="G1638" s="10"/>
      <c r="H1638" s="103"/>
      <c r="I1638" s="108">
        <f>Tableau3[[#This Row],[Stock final]]*Tableau3[[#This Row],[P.U.]]</f>
        <v>0</v>
      </c>
      <c r="J1638" s="184"/>
    </row>
    <row r="1639" spans="1:10" ht="19.350000000000001" customHeight="1">
      <c r="A1639" s="102"/>
      <c r="B1639" s="102"/>
      <c r="C1639" s="116"/>
      <c r="F1639" s="107"/>
      <c r="G1639" s="10"/>
      <c r="H1639" s="103"/>
      <c r="I1639" s="108">
        <f>Tableau3[[#This Row],[Stock final]]*Tableau3[[#This Row],[P.U.]]</f>
        <v>0</v>
      </c>
      <c r="J1639" s="184"/>
    </row>
    <row r="1640" spans="1:10" ht="19.350000000000001" customHeight="1">
      <c r="A1640" s="102"/>
      <c r="B1640" s="102"/>
      <c r="C1640" s="116"/>
      <c r="F1640" s="107"/>
      <c r="G1640" s="10"/>
      <c r="H1640" s="103"/>
      <c r="I1640" s="108">
        <f>Tableau3[[#This Row],[Stock final]]*Tableau3[[#This Row],[P.U.]]</f>
        <v>0</v>
      </c>
      <c r="J1640" s="184"/>
    </row>
    <row r="1641" spans="1:10" ht="19.350000000000001" customHeight="1">
      <c r="A1641" s="102"/>
      <c r="B1641" s="102"/>
      <c r="C1641" s="116"/>
      <c r="F1641" s="107"/>
      <c r="G1641" s="10"/>
      <c r="H1641" s="103"/>
      <c r="I1641" s="108">
        <f>Tableau3[[#This Row],[Stock final]]*Tableau3[[#This Row],[P.U.]]</f>
        <v>0</v>
      </c>
      <c r="J1641" s="184"/>
    </row>
    <row r="1642" spans="1:10" ht="19.350000000000001" customHeight="1">
      <c r="A1642" s="102"/>
      <c r="B1642" s="102"/>
      <c r="C1642" s="116"/>
      <c r="D1642" s="11" t="s">
        <v>1385</v>
      </c>
      <c r="E1642" s="113" t="s">
        <v>689</v>
      </c>
      <c r="F1642" s="107"/>
      <c r="G1642" s="10">
        <v>1</v>
      </c>
      <c r="H1642" s="103"/>
      <c r="I1642" s="108">
        <f>Tableau3[[#This Row],[Stock final]]*Tableau3[[#This Row],[P.U.]]</f>
        <v>0</v>
      </c>
      <c r="J1642" s="184"/>
    </row>
    <row r="1643" spans="1:10" ht="19.350000000000001" customHeight="1">
      <c r="A1643" s="102"/>
      <c r="B1643" s="102"/>
      <c r="C1643" s="116"/>
      <c r="D1643" s="11" t="s">
        <v>1386</v>
      </c>
      <c r="E1643" s="113" t="s">
        <v>689</v>
      </c>
      <c r="F1643" s="107"/>
      <c r="G1643" s="10">
        <v>1</v>
      </c>
      <c r="H1643" s="103"/>
      <c r="I1643" s="108">
        <f>Tableau3[[#This Row],[Stock final]]*Tableau3[[#This Row],[P.U.]]</f>
        <v>0</v>
      </c>
      <c r="J1643" s="184"/>
    </row>
    <row r="1644" spans="1:10" ht="19.350000000000001" customHeight="1">
      <c r="A1644" s="102"/>
      <c r="B1644" s="102" t="s">
        <v>654</v>
      </c>
      <c r="C1644" s="116"/>
      <c r="D1644" s="11" t="s">
        <v>700</v>
      </c>
      <c r="E1644" s="113" t="s">
        <v>1387</v>
      </c>
      <c r="F1644" s="107"/>
      <c r="G1644" s="10">
        <v>8</v>
      </c>
      <c r="H1644" s="103">
        <v>85.38</v>
      </c>
      <c r="I1644" s="108">
        <f>Tableau3[[#This Row],[Stock final]]*Tableau3[[#This Row],[P.U.]]</f>
        <v>683.04</v>
      </c>
      <c r="J1644" s="184"/>
    </row>
    <row r="1645" spans="1:10" ht="19.350000000000001" customHeight="1">
      <c r="A1645" s="102"/>
      <c r="B1645" s="102" t="s">
        <v>654</v>
      </c>
      <c r="C1645" s="116"/>
      <c r="D1645" s="11" t="s">
        <v>1388</v>
      </c>
      <c r="E1645" s="113" t="s">
        <v>1389</v>
      </c>
      <c r="F1645" s="107"/>
      <c r="G1645" s="10">
        <v>1</v>
      </c>
      <c r="H1645" s="103">
        <v>94.85</v>
      </c>
      <c r="I1645" s="108">
        <f>Tableau3[[#This Row],[Stock final]]*Tableau3[[#This Row],[P.U.]]</f>
        <v>94.85</v>
      </c>
      <c r="J1645" s="184"/>
    </row>
    <row r="1646" spans="1:10" ht="19.350000000000001" customHeight="1">
      <c r="A1646" s="102"/>
      <c r="B1646" s="102" t="s">
        <v>654</v>
      </c>
      <c r="C1646" s="116"/>
      <c r="D1646" s="11" t="s">
        <v>1390</v>
      </c>
      <c r="E1646" s="113" t="s">
        <v>1389</v>
      </c>
      <c r="F1646" s="107"/>
      <c r="G1646" s="10">
        <v>15</v>
      </c>
      <c r="H1646" s="103">
        <v>232.48</v>
      </c>
      <c r="I1646" s="108">
        <f>Tableau3[[#This Row],[Stock final]]*Tableau3[[#This Row],[P.U.]]</f>
        <v>3487.2</v>
      </c>
      <c r="J1646" s="184"/>
    </row>
    <row r="1647" spans="1:10" ht="19.350000000000001" customHeight="1">
      <c r="A1647" s="102"/>
      <c r="B1647" s="102" t="s">
        <v>654</v>
      </c>
      <c r="C1647" s="116"/>
      <c r="D1647" s="11" t="s">
        <v>1391</v>
      </c>
      <c r="E1647" s="113" t="s">
        <v>1389</v>
      </c>
      <c r="F1647" s="107"/>
      <c r="G1647" s="10">
        <v>40</v>
      </c>
      <c r="H1647" s="103">
        <v>69.98</v>
      </c>
      <c r="I1647" s="108">
        <f>Tableau3[[#This Row],[Stock final]]*Tableau3[[#This Row],[P.U.]]</f>
        <v>2799.2000000000003</v>
      </c>
      <c r="J1647" s="184"/>
    </row>
    <row r="1648" spans="1:10" ht="19.350000000000001" customHeight="1">
      <c r="A1648" s="102"/>
      <c r="B1648" s="102" t="s">
        <v>654</v>
      </c>
      <c r="C1648" s="116"/>
      <c r="D1648" s="11" t="s">
        <v>1392</v>
      </c>
      <c r="E1648" s="113" t="s">
        <v>698</v>
      </c>
      <c r="F1648" s="107"/>
      <c r="G1648" s="10">
        <v>2</v>
      </c>
      <c r="H1648" s="103">
        <v>103</v>
      </c>
      <c r="I1648" s="108">
        <f>Tableau3[[#This Row],[Stock final]]*Tableau3[[#This Row],[P.U.]]</f>
        <v>206</v>
      </c>
      <c r="J1648" s="184"/>
    </row>
    <row r="1649" spans="1:10" ht="19.350000000000001" customHeight="1">
      <c r="A1649" s="102"/>
      <c r="B1649" s="102" t="s">
        <v>654</v>
      </c>
      <c r="C1649" s="116"/>
      <c r="D1649" s="11" t="s">
        <v>700</v>
      </c>
      <c r="E1649" s="113" t="s">
        <v>698</v>
      </c>
      <c r="F1649" s="107"/>
      <c r="G1649" s="10">
        <v>3</v>
      </c>
      <c r="H1649" s="103">
        <v>69.98</v>
      </c>
      <c r="I1649" s="108">
        <f>Tableau3[[#This Row],[Stock final]]*Tableau3[[#This Row],[P.U.]]</f>
        <v>209.94</v>
      </c>
      <c r="J1649" s="184"/>
    </row>
    <row r="1650" spans="1:10" ht="19.350000000000001" customHeight="1">
      <c r="A1650" s="102"/>
      <c r="B1650" s="102" t="s">
        <v>654</v>
      </c>
      <c r="C1650" s="116">
        <v>202305270</v>
      </c>
      <c r="D1650" s="11" t="s">
        <v>1393</v>
      </c>
      <c r="E1650" s="113" t="s">
        <v>698</v>
      </c>
      <c r="F1650" s="107"/>
      <c r="G1650" s="10">
        <v>4</v>
      </c>
      <c r="H1650" s="103"/>
      <c r="I1650" s="108">
        <f>Tableau3[[#This Row],[Stock final]]*Tableau3[[#This Row],[P.U.]]</f>
        <v>0</v>
      </c>
      <c r="J1650" s="184"/>
    </row>
    <row r="1651" spans="1:10" ht="19.350000000000001" customHeight="1">
      <c r="A1651" s="102"/>
      <c r="B1651" s="102" t="s">
        <v>654</v>
      </c>
      <c r="C1651" s="116">
        <v>202407333</v>
      </c>
      <c r="D1651" s="11" t="s">
        <v>1394</v>
      </c>
      <c r="E1651" s="113" t="s">
        <v>656</v>
      </c>
      <c r="F1651" s="107"/>
      <c r="G1651" s="10">
        <v>7</v>
      </c>
      <c r="H1651" s="103"/>
      <c r="I1651" s="108">
        <f>Tableau3[[#This Row],[Stock final]]*Tableau3[[#This Row],[P.U.]]</f>
        <v>0</v>
      </c>
      <c r="J1651" s="184"/>
    </row>
    <row r="1652" spans="1:10" ht="19.350000000000001" customHeight="1">
      <c r="A1652" s="102" t="s">
        <v>653</v>
      </c>
      <c r="B1652" s="105" t="s">
        <v>654</v>
      </c>
      <c r="C1652" s="116">
        <v>202300342</v>
      </c>
      <c r="D1652" s="114" t="s">
        <v>655</v>
      </c>
      <c r="E1652" s="113" t="s">
        <v>656</v>
      </c>
      <c r="F1652" s="107"/>
      <c r="G1652" s="10">
        <v>14</v>
      </c>
      <c r="H1652" s="103">
        <v>69.98</v>
      </c>
      <c r="I1652" s="108">
        <f>Tableau3[[#This Row],[Stock final]]*Tableau3[[#This Row],[P.U.]]</f>
        <v>979.72</v>
      </c>
      <c r="J1652" s="184"/>
    </row>
    <row r="1653" spans="1:10" ht="19.350000000000001" customHeight="1">
      <c r="A1653" s="102"/>
      <c r="B1653" s="102" t="s">
        <v>654</v>
      </c>
      <c r="C1653" s="116">
        <v>202001048</v>
      </c>
      <c r="D1653" s="114" t="s">
        <v>657</v>
      </c>
      <c r="E1653" s="113" t="s">
        <v>656</v>
      </c>
      <c r="F1653" s="107"/>
      <c r="G1653" s="10">
        <v>5</v>
      </c>
      <c r="H1653" s="103">
        <v>170</v>
      </c>
      <c r="I1653" s="108">
        <f>Tableau3[[#This Row],[Stock final]]*Tableau3[[#This Row],[P.U.]]</f>
        <v>850</v>
      </c>
      <c r="J1653" s="184"/>
    </row>
    <row r="1654" spans="1:10" ht="19.350000000000001" customHeight="1">
      <c r="A1654" s="102"/>
      <c r="B1654" s="102" t="s">
        <v>654</v>
      </c>
      <c r="C1654" s="116">
        <v>202300342</v>
      </c>
      <c r="D1654" s="114" t="s">
        <v>658</v>
      </c>
      <c r="E1654" s="113" t="s">
        <v>656</v>
      </c>
      <c r="F1654" s="107"/>
      <c r="G1654" s="10">
        <v>5</v>
      </c>
      <c r="H1654" s="103">
        <v>75</v>
      </c>
      <c r="I1654" s="108">
        <f>Tableau3[[#This Row],[Stock final]]*Tableau3[[#This Row],[P.U.]]</f>
        <v>375</v>
      </c>
      <c r="J1654" s="184"/>
    </row>
    <row r="1655" spans="1:10" ht="19.350000000000001" customHeight="1">
      <c r="A1655" s="102"/>
      <c r="B1655" s="102" t="s">
        <v>654</v>
      </c>
      <c r="C1655" s="116">
        <v>202201248</v>
      </c>
      <c r="D1655" s="114" t="s">
        <v>659</v>
      </c>
      <c r="E1655" s="113" t="s">
        <v>656</v>
      </c>
      <c r="F1655" s="107"/>
      <c r="G1655" s="10">
        <v>4</v>
      </c>
      <c r="H1655" s="103">
        <v>100</v>
      </c>
      <c r="I1655" s="108">
        <f>Tableau3[[#This Row],[Stock final]]*Tableau3[[#This Row],[P.U.]]</f>
        <v>400</v>
      </c>
      <c r="J1655" s="184"/>
    </row>
    <row r="1656" spans="1:10" ht="19.350000000000001" customHeight="1">
      <c r="A1656" s="102"/>
      <c r="B1656" s="102" t="s">
        <v>654</v>
      </c>
      <c r="C1656" s="116"/>
      <c r="D1656" s="114" t="s">
        <v>660</v>
      </c>
      <c r="E1656" s="113" t="s">
        <v>661</v>
      </c>
      <c r="F1656" s="107"/>
      <c r="G1656" s="10">
        <v>6</v>
      </c>
      <c r="H1656" s="103">
        <v>103</v>
      </c>
      <c r="I1656" s="108">
        <f>Tableau3[[#This Row],[Stock final]]*Tableau3[[#This Row],[P.U.]]</f>
        <v>618</v>
      </c>
      <c r="J1656" s="184"/>
    </row>
    <row r="1657" spans="1:10" ht="19.350000000000001" customHeight="1">
      <c r="A1657" s="102"/>
      <c r="B1657" s="102" t="s">
        <v>654</v>
      </c>
      <c r="C1657" s="116"/>
      <c r="D1657" s="114" t="s">
        <v>662</v>
      </c>
      <c r="E1657" s="113" t="s">
        <v>663</v>
      </c>
      <c r="F1657" s="107"/>
      <c r="G1657" s="10"/>
      <c r="H1657" s="103">
        <v>75</v>
      </c>
      <c r="I1657" s="108">
        <f>Tableau3[[#This Row],[Stock final]]*Tableau3[[#This Row],[P.U.]]</f>
        <v>0</v>
      </c>
      <c r="J1657" s="184"/>
    </row>
    <row r="1658" spans="1:10" ht="19.350000000000001" customHeight="1">
      <c r="A1658" s="102"/>
      <c r="B1658" s="102" t="s">
        <v>654</v>
      </c>
      <c r="C1658" s="116">
        <v>202300342</v>
      </c>
      <c r="D1658" s="114" t="s">
        <v>664</v>
      </c>
      <c r="E1658" s="113" t="s">
        <v>656</v>
      </c>
      <c r="F1658" s="107"/>
      <c r="G1658" s="10"/>
      <c r="H1658" s="103">
        <v>75</v>
      </c>
      <c r="I1658" s="108">
        <f>Tableau3[[#This Row],[Stock final]]*Tableau3[[#This Row],[P.U.]]</f>
        <v>0</v>
      </c>
      <c r="J1658" s="184"/>
    </row>
    <row r="1659" spans="1:10" ht="19.350000000000001" customHeight="1">
      <c r="A1659" s="102"/>
      <c r="B1659" s="102" t="s">
        <v>654</v>
      </c>
      <c r="C1659" s="116">
        <v>202203002</v>
      </c>
      <c r="D1659" s="114" t="s">
        <v>665</v>
      </c>
      <c r="E1659" s="113" t="s">
        <v>656</v>
      </c>
      <c r="F1659" s="107"/>
      <c r="G1659" s="10">
        <v>7</v>
      </c>
      <c r="H1659" s="103">
        <v>75</v>
      </c>
      <c r="I1659" s="108">
        <f>Tableau3[[#This Row],[Stock final]]*Tableau3[[#This Row],[P.U.]]</f>
        <v>525</v>
      </c>
      <c r="J1659" s="184"/>
    </row>
    <row r="1660" spans="1:10" ht="19.350000000000001" customHeight="1">
      <c r="A1660" s="102"/>
      <c r="B1660" s="102" t="s">
        <v>654</v>
      </c>
      <c r="C1660" s="116">
        <v>202300342</v>
      </c>
      <c r="D1660" s="114" t="s">
        <v>666</v>
      </c>
      <c r="E1660" s="113" t="s">
        <v>656</v>
      </c>
      <c r="F1660" s="107"/>
      <c r="G1660" s="10">
        <v>2</v>
      </c>
      <c r="H1660" s="103">
        <v>124</v>
      </c>
      <c r="I1660" s="108">
        <f>Tableau3[[#This Row],[Stock final]]*Tableau3[[#This Row],[P.U.]]</f>
        <v>248</v>
      </c>
      <c r="J1660" s="184"/>
    </row>
    <row r="1661" spans="1:10" ht="19.350000000000001" customHeight="1">
      <c r="A1661" s="102"/>
      <c r="B1661" s="102" t="s">
        <v>654</v>
      </c>
      <c r="C1661" s="116">
        <v>202300342</v>
      </c>
      <c r="D1661" s="114" t="s">
        <v>667</v>
      </c>
      <c r="E1661" s="113" t="s">
        <v>656</v>
      </c>
      <c r="F1661" s="107"/>
      <c r="G1661" s="10">
        <v>1</v>
      </c>
      <c r="H1661" s="103">
        <v>163</v>
      </c>
      <c r="I1661" s="108">
        <f>Tableau3[[#This Row],[Stock final]]*Tableau3[[#This Row],[P.U.]]</f>
        <v>163</v>
      </c>
      <c r="J1661" s="184"/>
    </row>
    <row r="1662" spans="1:10" ht="19.350000000000001" customHeight="1">
      <c r="A1662" s="102"/>
      <c r="B1662" s="102" t="s">
        <v>654</v>
      </c>
      <c r="C1662" s="116">
        <v>202300342</v>
      </c>
      <c r="D1662" s="114" t="s">
        <v>668</v>
      </c>
      <c r="E1662" s="113" t="s">
        <v>656</v>
      </c>
      <c r="F1662" s="107"/>
      <c r="G1662" s="10">
        <v>1</v>
      </c>
      <c r="H1662" s="103">
        <v>163</v>
      </c>
      <c r="I1662" s="108">
        <f>Tableau3[[#This Row],[Stock final]]*Tableau3[[#This Row],[P.U.]]</f>
        <v>163</v>
      </c>
      <c r="J1662" s="184"/>
    </row>
    <row r="1663" spans="1:10" ht="19.350000000000001" customHeight="1">
      <c r="A1663" s="102"/>
      <c r="B1663" s="102" t="s">
        <v>654</v>
      </c>
      <c r="C1663" s="116">
        <v>202300342</v>
      </c>
      <c r="D1663" s="114" t="s">
        <v>669</v>
      </c>
      <c r="E1663" s="113" t="s">
        <v>656</v>
      </c>
      <c r="F1663" s="107"/>
      <c r="G1663" s="10"/>
      <c r="H1663" s="103">
        <v>170</v>
      </c>
      <c r="I1663" s="108">
        <f>Tableau3[[#This Row],[Stock final]]*Tableau3[[#This Row],[P.U.]]</f>
        <v>0</v>
      </c>
      <c r="J1663" s="184"/>
    </row>
    <row r="1664" spans="1:10" ht="19.350000000000001" customHeight="1">
      <c r="A1664" s="102"/>
      <c r="B1664" s="102" t="s">
        <v>654</v>
      </c>
      <c r="C1664" s="116">
        <v>202300342</v>
      </c>
      <c r="D1664" s="114" t="s">
        <v>670</v>
      </c>
      <c r="E1664" s="113" t="s">
        <v>656</v>
      </c>
      <c r="F1664" s="107"/>
      <c r="G1664" s="10"/>
      <c r="H1664" s="103">
        <v>191</v>
      </c>
      <c r="I1664" s="108">
        <f>Tableau3[[#This Row],[Stock final]]*Tableau3[[#This Row],[P.U.]]</f>
        <v>0</v>
      </c>
      <c r="J1664" s="184"/>
    </row>
    <row r="1665" spans="1:10" ht="19.350000000000001" customHeight="1">
      <c r="A1665" s="102"/>
      <c r="B1665" s="102" t="s">
        <v>654</v>
      </c>
      <c r="C1665" s="116">
        <v>202300342</v>
      </c>
      <c r="D1665" s="114" t="s">
        <v>671</v>
      </c>
      <c r="E1665" s="113" t="s">
        <v>656</v>
      </c>
      <c r="F1665" s="107"/>
      <c r="G1665" s="10"/>
      <c r="H1665" s="103">
        <v>191</v>
      </c>
      <c r="I1665" s="108">
        <f>Tableau3[[#This Row],[Stock final]]*Tableau3[[#This Row],[P.U.]]</f>
        <v>0</v>
      </c>
      <c r="J1665" s="184"/>
    </row>
    <row r="1666" spans="1:10" ht="19.350000000000001" customHeight="1">
      <c r="A1666" s="102"/>
      <c r="B1666" s="102" t="s">
        <v>654</v>
      </c>
      <c r="C1666" s="116">
        <v>202300342</v>
      </c>
      <c r="D1666" s="114" t="s">
        <v>672</v>
      </c>
      <c r="E1666" s="113" t="s">
        <v>656</v>
      </c>
      <c r="F1666" s="107"/>
      <c r="G1666" s="10">
        <v>1</v>
      </c>
      <c r="H1666" s="103">
        <v>118.61</v>
      </c>
      <c r="I1666" s="108">
        <f>Tableau3[[#This Row],[Stock final]]*Tableau3[[#This Row],[P.U.]]</f>
        <v>118.61</v>
      </c>
      <c r="J1666" s="184"/>
    </row>
    <row r="1667" spans="1:10" ht="19.350000000000001" customHeight="1">
      <c r="A1667" s="102"/>
      <c r="B1667" s="102" t="s">
        <v>654</v>
      </c>
      <c r="C1667" s="116">
        <v>202302324</v>
      </c>
      <c r="D1667" s="114" t="s">
        <v>673</v>
      </c>
      <c r="E1667" s="113" t="s">
        <v>674</v>
      </c>
      <c r="F1667" s="107"/>
      <c r="G1667" s="10">
        <v>7</v>
      </c>
      <c r="H1667" s="103">
        <v>103.29</v>
      </c>
      <c r="I1667" s="108">
        <f>Tableau3[[#This Row],[Stock final]]*Tableau3[[#This Row],[P.U.]]</f>
        <v>723.03000000000009</v>
      </c>
      <c r="J1667" s="184"/>
    </row>
    <row r="1668" spans="1:10" ht="19.350000000000001" customHeight="1">
      <c r="A1668" s="102"/>
      <c r="B1668" s="102" t="s">
        <v>654</v>
      </c>
      <c r="C1668" s="116">
        <v>202300342</v>
      </c>
      <c r="D1668" s="114" t="s">
        <v>675</v>
      </c>
      <c r="E1668" s="113" t="s">
        <v>674</v>
      </c>
      <c r="F1668" s="107"/>
      <c r="G1668" s="10">
        <v>5</v>
      </c>
      <c r="H1668" s="103">
        <v>103.29</v>
      </c>
      <c r="I1668" s="108">
        <f>Tableau3[[#This Row],[Stock final]]*Tableau3[[#This Row],[P.U.]]</f>
        <v>516.45000000000005</v>
      </c>
      <c r="J1668" s="184"/>
    </row>
    <row r="1669" spans="1:10" ht="19.350000000000001" customHeight="1">
      <c r="A1669" s="102"/>
      <c r="B1669" s="102" t="s">
        <v>654</v>
      </c>
      <c r="C1669" s="116">
        <v>202302572</v>
      </c>
      <c r="D1669" s="114" t="s">
        <v>676</v>
      </c>
      <c r="E1669" s="113" t="s">
        <v>674</v>
      </c>
      <c r="F1669" s="107"/>
      <c r="G1669" s="10">
        <v>1</v>
      </c>
      <c r="H1669" s="103">
        <v>374.5</v>
      </c>
      <c r="I1669" s="108">
        <f>Tableau3[[#This Row],[Stock final]]*Tableau3[[#This Row],[P.U.]]</f>
        <v>374.5</v>
      </c>
      <c r="J1669" s="184"/>
    </row>
    <row r="1670" spans="1:10" ht="19.350000000000001" customHeight="1">
      <c r="A1670" s="102"/>
      <c r="B1670" s="102" t="s">
        <v>654</v>
      </c>
      <c r="C1670" s="116">
        <v>202300342</v>
      </c>
      <c r="D1670" s="114" t="s">
        <v>677</v>
      </c>
      <c r="E1670" s="113" t="s">
        <v>674</v>
      </c>
      <c r="F1670" s="107"/>
      <c r="G1670" s="10">
        <v>3</v>
      </c>
      <c r="H1670" s="103">
        <v>118</v>
      </c>
      <c r="I1670" s="108">
        <f>Tableau3[[#This Row],[Stock final]]*Tableau3[[#This Row],[P.U.]]</f>
        <v>354</v>
      </c>
      <c r="J1670" s="184"/>
    </row>
    <row r="1671" spans="1:10" ht="19.350000000000001" customHeight="1">
      <c r="A1671" s="102"/>
      <c r="B1671" s="102" t="s">
        <v>654</v>
      </c>
      <c r="C1671" s="116">
        <v>202208059</v>
      </c>
      <c r="D1671" s="114" t="s">
        <v>678</v>
      </c>
      <c r="E1671" s="113" t="s">
        <v>679</v>
      </c>
      <c r="F1671" s="107"/>
      <c r="G1671" s="10">
        <v>4</v>
      </c>
      <c r="H1671" s="103">
        <v>124</v>
      </c>
      <c r="I1671" s="108">
        <f>Tableau3[[#This Row],[Stock final]]*Tableau3[[#This Row],[P.U.]]</f>
        <v>496</v>
      </c>
      <c r="J1671" s="184"/>
    </row>
    <row r="1672" spans="1:10" ht="19.350000000000001" customHeight="1">
      <c r="A1672" s="102"/>
      <c r="B1672" s="102" t="s">
        <v>654</v>
      </c>
      <c r="C1672" s="116">
        <v>202102049</v>
      </c>
      <c r="D1672" s="114" t="s">
        <v>680</v>
      </c>
      <c r="E1672" s="113" t="s">
        <v>679</v>
      </c>
      <c r="F1672" s="107"/>
      <c r="G1672" s="10"/>
      <c r="H1672" s="103">
        <v>115</v>
      </c>
      <c r="I1672" s="108">
        <f>Tableau3[[#This Row],[Stock final]]*Tableau3[[#This Row],[P.U.]]</f>
        <v>0</v>
      </c>
      <c r="J1672" s="184"/>
    </row>
    <row r="1673" spans="1:10" ht="19.350000000000001" customHeight="1">
      <c r="A1673" s="102"/>
      <c r="B1673" s="102" t="s">
        <v>654</v>
      </c>
      <c r="C1673" s="116">
        <v>202208059</v>
      </c>
      <c r="D1673" s="114" t="s">
        <v>681</v>
      </c>
      <c r="E1673" s="113" t="s">
        <v>679</v>
      </c>
      <c r="F1673" s="107"/>
      <c r="G1673" s="10">
        <v>1</v>
      </c>
      <c r="H1673" s="103">
        <v>75</v>
      </c>
      <c r="I1673" s="108">
        <f>Tableau3[[#This Row],[Stock final]]*Tableau3[[#This Row],[P.U.]]</f>
        <v>75</v>
      </c>
      <c r="J1673" s="184"/>
    </row>
    <row r="1674" spans="1:10" ht="19.350000000000001" customHeight="1">
      <c r="A1674" s="102"/>
      <c r="B1674" s="102" t="s">
        <v>654</v>
      </c>
      <c r="C1674" s="116">
        <v>202002307</v>
      </c>
      <c r="D1674" s="114" t="s">
        <v>682</v>
      </c>
      <c r="E1674" s="113" t="s">
        <v>679</v>
      </c>
      <c r="F1674" s="107"/>
      <c r="G1674" s="10">
        <v>6</v>
      </c>
      <c r="H1674" s="103">
        <v>195</v>
      </c>
      <c r="I1674" s="108">
        <f>Tableau3[[#This Row],[Stock final]]*Tableau3[[#This Row],[P.U.]]</f>
        <v>1170</v>
      </c>
      <c r="J1674" s="184"/>
    </row>
    <row r="1675" spans="1:10" ht="19.350000000000001" customHeight="1">
      <c r="A1675" s="102"/>
      <c r="B1675" s="102" t="s">
        <v>654</v>
      </c>
      <c r="C1675" s="116">
        <v>202002307</v>
      </c>
      <c r="D1675" s="114" t="s">
        <v>683</v>
      </c>
      <c r="E1675" s="113" t="s">
        <v>679</v>
      </c>
      <c r="F1675" s="107"/>
      <c r="G1675" s="10">
        <v>2</v>
      </c>
      <c r="H1675" s="103">
        <v>120</v>
      </c>
      <c r="I1675" s="108">
        <f>Tableau3[[#This Row],[Stock final]]*Tableau3[[#This Row],[P.U.]]</f>
        <v>240</v>
      </c>
      <c r="J1675" s="184"/>
    </row>
    <row r="1676" spans="1:10" ht="19.350000000000001" customHeight="1">
      <c r="A1676" s="102"/>
      <c r="B1676" s="102" t="s">
        <v>654</v>
      </c>
      <c r="C1676" s="116">
        <v>202002307</v>
      </c>
      <c r="D1676" s="114" t="s">
        <v>684</v>
      </c>
      <c r="E1676" s="113" t="s">
        <v>679</v>
      </c>
      <c r="F1676" s="107"/>
      <c r="G1676" s="10">
        <v>4</v>
      </c>
      <c r="H1676" s="103"/>
      <c r="I1676" s="108">
        <f>Tableau3[[#This Row],[Stock final]]*Tableau3[[#This Row],[P.U.]]</f>
        <v>0</v>
      </c>
      <c r="J1676" s="184"/>
    </row>
    <row r="1677" spans="1:10" ht="19.350000000000001" customHeight="1">
      <c r="A1677" s="102"/>
      <c r="B1677" s="102" t="s">
        <v>654</v>
      </c>
      <c r="C1677" s="116">
        <v>202208059</v>
      </c>
      <c r="D1677" s="114" t="s">
        <v>685</v>
      </c>
      <c r="E1677" s="113" t="s">
        <v>679</v>
      </c>
      <c r="F1677" s="107"/>
      <c r="G1677" s="10"/>
      <c r="H1677" s="103">
        <v>118</v>
      </c>
      <c r="I1677" s="108">
        <f>Tableau3[[#This Row],[Stock final]]*Tableau3[[#This Row],[P.U.]]</f>
        <v>0</v>
      </c>
      <c r="J1677" s="184"/>
    </row>
    <row r="1678" spans="1:10" ht="19.350000000000001" customHeight="1">
      <c r="A1678" s="102"/>
      <c r="B1678" s="102" t="s">
        <v>654</v>
      </c>
      <c r="C1678" s="116">
        <v>202002307</v>
      </c>
      <c r="D1678" s="114" t="s">
        <v>686</v>
      </c>
      <c r="E1678" s="113" t="s">
        <v>679</v>
      </c>
      <c r="F1678" s="107"/>
      <c r="G1678" s="10">
        <v>1</v>
      </c>
      <c r="H1678" s="103"/>
      <c r="I1678" s="108">
        <f>Tableau3[[#This Row],[Stock final]]*Tableau3[[#This Row],[P.U.]]</f>
        <v>0</v>
      </c>
      <c r="J1678" s="184"/>
    </row>
    <row r="1679" spans="1:10" ht="19.350000000000001" customHeight="1">
      <c r="A1679" s="102"/>
      <c r="B1679" s="102" t="s">
        <v>654</v>
      </c>
      <c r="C1679" s="116">
        <v>202002307</v>
      </c>
      <c r="D1679" s="114" t="s">
        <v>687</v>
      </c>
      <c r="E1679" s="113" t="s">
        <v>679</v>
      </c>
      <c r="F1679" s="107"/>
      <c r="G1679" s="10">
        <v>1</v>
      </c>
      <c r="H1679" s="103"/>
      <c r="I1679" s="108">
        <f>Tableau3[[#This Row],[Stock final]]*Tableau3[[#This Row],[P.U.]]</f>
        <v>0</v>
      </c>
      <c r="J1679" s="184"/>
    </row>
    <row r="1680" spans="1:10" ht="19.350000000000001" customHeight="1">
      <c r="A1680" s="102"/>
      <c r="B1680" s="102" t="s">
        <v>654</v>
      </c>
      <c r="C1680" s="116">
        <v>201907078</v>
      </c>
      <c r="D1680" s="114" t="s">
        <v>688</v>
      </c>
      <c r="E1680" s="113" t="s">
        <v>689</v>
      </c>
      <c r="F1680" s="107"/>
      <c r="G1680" s="10">
        <v>2</v>
      </c>
      <c r="H1680" s="103"/>
      <c r="I1680" s="108">
        <f>Tableau3[[#This Row],[Stock final]]*Tableau3[[#This Row],[P.U.]]</f>
        <v>0</v>
      </c>
      <c r="J1680" s="184"/>
    </row>
    <row r="1681" spans="1:10" ht="19.350000000000001" customHeight="1">
      <c r="A1681" s="102"/>
      <c r="B1681" s="102" t="s">
        <v>654</v>
      </c>
      <c r="C1681" s="116">
        <v>201907078</v>
      </c>
      <c r="D1681" s="114" t="s">
        <v>690</v>
      </c>
      <c r="E1681" s="113" t="s">
        <v>689</v>
      </c>
      <c r="F1681" s="107"/>
      <c r="G1681" s="10">
        <v>1</v>
      </c>
      <c r="H1681" s="103"/>
      <c r="I1681" s="108">
        <f>Tableau3[[#This Row],[Stock final]]*Tableau3[[#This Row],[P.U.]]</f>
        <v>0</v>
      </c>
      <c r="J1681" s="184"/>
    </row>
    <row r="1682" spans="1:10" ht="19.350000000000001" customHeight="1">
      <c r="A1682" s="102"/>
      <c r="B1682" s="102" t="s">
        <v>654</v>
      </c>
      <c r="C1682" s="146">
        <v>201907078</v>
      </c>
      <c r="D1682" s="114" t="s">
        <v>691</v>
      </c>
      <c r="E1682" s="113" t="s">
        <v>689</v>
      </c>
      <c r="F1682" s="107"/>
      <c r="G1682" s="10"/>
      <c r="H1682" s="103"/>
      <c r="I1682" s="108">
        <f>Tableau3[[#This Row],[Stock final]]*Tableau3[[#This Row],[P.U.]]</f>
        <v>0</v>
      </c>
      <c r="J1682" s="184"/>
    </row>
    <row r="1683" spans="1:10" ht="19.350000000000001" customHeight="1">
      <c r="A1683" s="102"/>
      <c r="B1683" s="102" t="s">
        <v>654</v>
      </c>
      <c r="C1683" s="116">
        <v>201907078</v>
      </c>
      <c r="D1683" s="114" t="s">
        <v>692</v>
      </c>
      <c r="E1683" s="113" t="s">
        <v>689</v>
      </c>
      <c r="F1683" s="107"/>
      <c r="G1683" s="10">
        <v>1</v>
      </c>
      <c r="H1683" s="103"/>
      <c r="I1683" s="108">
        <f>Tableau3[[#This Row],[Stock final]]*Tableau3[[#This Row],[P.U.]]</f>
        <v>0</v>
      </c>
      <c r="J1683" s="184"/>
    </row>
    <row r="1684" spans="1:10" ht="19.350000000000001" customHeight="1">
      <c r="A1684" s="102"/>
      <c r="B1684" s="102" t="s">
        <v>654</v>
      </c>
      <c r="C1684" s="116">
        <v>201907078</v>
      </c>
      <c r="D1684" s="114" t="s">
        <v>693</v>
      </c>
      <c r="E1684" s="113" t="s">
        <v>689</v>
      </c>
      <c r="F1684" s="107"/>
      <c r="G1684" s="10">
        <v>1</v>
      </c>
      <c r="H1684" s="103"/>
      <c r="I1684" s="108">
        <f>Tableau3[[#This Row],[Stock final]]*Tableau3[[#This Row],[P.U.]]</f>
        <v>0</v>
      </c>
      <c r="J1684" s="184"/>
    </row>
    <row r="1685" spans="1:10" ht="19.350000000000001" customHeight="1">
      <c r="A1685" s="102"/>
      <c r="B1685" s="102" t="s">
        <v>654</v>
      </c>
      <c r="C1685" s="116">
        <v>201903418</v>
      </c>
      <c r="D1685" s="114" t="s">
        <v>694</v>
      </c>
      <c r="E1685" s="113" t="s">
        <v>695</v>
      </c>
      <c r="F1685" s="107"/>
      <c r="G1685" s="10"/>
      <c r="H1685" s="103"/>
      <c r="I1685" s="108">
        <f>Tableau3[[#This Row],[Stock final]]*Tableau3[[#This Row],[P.U.]]</f>
        <v>0</v>
      </c>
      <c r="J1685" s="184"/>
    </row>
    <row r="1686" spans="1:10" ht="19.350000000000001" customHeight="1">
      <c r="A1686" s="102"/>
      <c r="B1686" s="102" t="s">
        <v>654</v>
      </c>
      <c r="C1686" s="116">
        <v>201806653</v>
      </c>
      <c r="D1686" s="114" t="s">
        <v>696</v>
      </c>
      <c r="E1686" s="113" t="s">
        <v>695</v>
      </c>
      <c r="F1686" s="107"/>
      <c r="G1686" s="10">
        <v>1</v>
      </c>
      <c r="H1686" s="103"/>
      <c r="I1686" s="108">
        <f>Tableau3[[#This Row],[Stock final]]*Tableau3[[#This Row],[P.U.]]</f>
        <v>0</v>
      </c>
      <c r="J1686" s="184"/>
    </row>
    <row r="1687" spans="1:10" ht="19.350000000000001" customHeight="1">
      <c r="A1687" s="102"/>
      <c r="B1687" s="102" t="s">
        <v>654</v>
      </c>
      <c r="C1687" s="116">
        <v>201906167</v>
      </c>
      <c r="D1687" s="114" t="s">
        <v>697</v>
      </c>
      <c r="E1687" s="113" t="s">
        <v>698</v>
      </c>
      <c r="F1687" s="107"/>
      <c r="G1687" s="10"/>
      <c r="H1687" s="103"/>
      <c r="I1687" s="108">
        <f>Tableau3[[#This Row],[Stock final]]*Tableau3[[#This Row],[P.U.]]</f>
        <v>0</v>
      </c>
      <c r="J1687" s="184"/>
    </row>
    <row r="1688" spans="1:10" ht="19.350000000000001" customHeight="1">
      <c r="A1688" s="102"/>
      <c r="B1688" s="102" t="s">
        <v>654</v>
      </c>
      <c r="C1688" s="116">
        <v>201906167</v>
      </c>
      <c r="D1688" s="114" t="s">
        <v>699</v>
      </c>
      <c r="E1688" s="113" t="s">
        <v>698</v>
      </c>
      <c r="F1688" s="107"/>
      <c r="G1688" s="10">
        <v>1</v>
      </c>
      <c r="H1688" s="103"/>
      <c r="I1688" s="108">
        <f>Tableau3[[#This Row],[Stock final]]*Tableau3[[#This Row],[P.U.]]</f>
        <v>0</v>
      </c>
      <c r="J1688" s="184"/>
    </row>
    <row r="1689" spans="1:10" ht="19.350000000000001" customHeight="1">
      <c r="A1689" s="102"/>
      <c r="B1689" s="102" t="s">
        <v>654</v>
      </c>
      <c r="C1689" s="116"/>
      <c r="D1689" s="114" t="s">
        <v>700</v>
      </c>
      <c r="E1689" s="113" t="s">
        <v>701</v>
      </c>
      <c r="F1689" s="107"/>
      <c r="G1689" s="10">
        <v>6</v>
      </c>
      <c r="H1689" s="103">
        <v>69.680000000000007</v>
      </c>
      <c r="I1689" s="108">
        <f>Tableau3[[#This Row],[Stock final]]*Tableau3[[#This Row],[P.U.]]</f>
        <v>418.08000000000004</v>
      </c>
      <c r="J1689" s="184"/>
    </row>
    <row r="1690" spans="1:10" ht="19.350000000000001" customHeight="1">
      <c r="A1690" s="102"/>
      <c r="B1690" s="102" t="s">
        <v>654</v>
      </c>
      <c r="C1690" s="116"/>
      <c r="D1690" s="114" t="s">
        <v>702</v>
      </c>
      <c r="E1690" s="113" t="s">
        <v>701</v>
      </c>
      <c r="F1690" s="107"/>
      <c r="G1690" s="10">
        <v>2</v>
      </c>
      <c r="H1690" s="103">
        <v>150.22</v>
      </c>
      <c r="I1690" s="108">
        <f>Tableau3[[#This Row],[Stock final]]*Tableau3[[#This Row],[P.U.]]</f>
        <v>300.44</v>
      </c>
      <c r="J1690" s="184"/>
    </row>
    <row r="1691" spans="1:10" ht="19.350000000000001" customHeight="1">
      <c r="A1691" s="102"/>
      <c r="B1691" s="102"/>
      <c r="C1691" s="116"/>
      <c r="F1691" s="107"/>
      <c r="G1691" s="10"/>
      <c r="H1691" s="103"/>
      <c r="I1691" s="108">
        <f>Tableau3[[#This Row],[Stock final]]*Tableau3[[#This Row],[P.U.]]</f>
        <v>0</v>
      </c>
      <c r="J1691" s="184"/>
    </row>
    <row r="1692" spans="1:10" ht="19.350000000000001" customHeight="1">
      <c r="A1692" s="102"/>
      <c r="B1692" s="102"/>
      <c r="C1692" s="116"/>
      <c r="F1692" s="107"/>
      <c r="G1692" s="10"/>
      <c r="H1692" s="103"/>
      <c r="I1692" s="108">
        <f>Tableau3[[#This Row],[Stock final]]*Tableau3[[#This Row],[P.U.]]</f>
        <v>0</v>
      </c>
      <c r="J1692" s="184"/>
    </row>
    <row r="1693" spans="1:10" ht="19.350000000000001" customHeight="1">
      <c r="A1693" s="102"/>
      <c r="B1693" s="102"/>
      <c r="C1693" s="116"/>
      <c r="F1693" s="107"/>
      <c r="G1693" s="10"/>
      <c r="H1693" s="103"/>
      <c r="I1693" s="108">
        <f>Tableau3[[#This Row],[Stock final]]*Tableau3[[#This Row],[P.U.]]</f>
        <v>0</v>
      </c>
      <c r="J1693" s="184"/>
    </row>
    <row r="1694" spans="1:10" ht="19.350000000000001" customHeight="1">
      <c r="A1694" s="102"/>
      <c r="B1694" s="102"/>
      <c r="C1694" s="116"/>
      <c r="F1694" s="107"/>
      <c r="G1694" s="10"/>
      <c r="H1694" s="103"/>
      <c r="I1694" s="108">
        <f>Tableau3[[#This Row],[Stock final]]*Tableau3[[#This Row],[P.U.]]</f>
        <v>0</v>
      </c>
      <c r="J1694" s="184"/>
    </row>
    <row r="1695" spans="1:10" ht="19.350000000000001" customHeight="1">
      <c r="A1695" s="102"/>
      <c r="B1695" s="102"/>
      <c r="C1695" s="116"/>
      <c r="F1695" s="107"/>
      <c r="G1695" s="10"/>
      <c r="H1695" s="103"/>
      <c r="I1695" s="108">
        <f>Tableau3[[#This Row],[Stock final]]*Tableau3[[#This Row],[P.U.]]</f>
        <v>0</v>
      </c>
      <c r="J1695" s="184"/>
    </row>
    <row r="1696" spans="1:10" ht="19.350000000000001" customHeight="1">
      <c r="A1696" s="102"/>
      <c r="B1696" s="102"/>
      <c r="C1696" s="116"/>
      <c r="F1696" s="107"/>
      <c r="G1696" s="10"/>
      <c r="H1696" s="103"/>
      <c r="I1696" s="108">
        <f>Tableau3[[#This Row],[Stock final]]*Tableau3[[#This Row],[P.U.]]</f>
        <v>0</v>
      </c>
      <c r="J1696" s="184"/>
    </row>
    <row r="1697" spans="1:10" ht="19.350000000000001" customHeight="1">
      <c r="A1697" s="102"/>
      <c r="B1697" s="102"/>
      <c r="C1697" s="116"/>
      <c r="F1697" s="107"/>
      <c r="G1697" s="10"/>
      <c r="H1697" s="103"/>
      <c r="I1697" s="108">
        <f>Tableau3[[#This Row],[Stock final]]*Tableau3[[#This Row],[P.U.]]</f>
        <v>0</v>
      </c>
      <c r="J1697" s="184"/>
    </row>
    <row r="1698" spans="1:10" ht="19.350000000000001" customHeight="1">
      <c r="A1698" s="102"/>
      <c r="B1698" s="102"/>
      <c r="C1698" s="116"/>
      <c r="F1698" s="107"/>
      <c r="G1698" s="10"/>
      <c r="H1698" s="103"/>
      <c r="I1698" s="108">
        <f>Tableau3[[#This Row],[Stock final]]*Tableau3[[#This Row],[P.U.]]</f>
        <v>0</v>
      </c>
      <c r="J1698" s="184"/>
    </row>
    <row r="1699" spans="1:10" ht="19.350000000000001" customHeight="1">
      <c r="A1699" s="102"/>
      <c r="B1699" s="102"/>
      <c r="C1699" s="116"/>
      <c r="F1699" s="107"/>
      <c r="G1699" s="10"/>
      <c r="H1699" s="103"/>
      <c r="I1699" s="108">
        <f>Tableau3[[#This Row],[Stock final]]*Tableau3[[#This Row],[P.U.]]</f>
        <v>0</v>
      </c>
      <c r="J1699" s="184"/>
    </row>
    <row r="1700" spans="1:10" ht="19.350000000000001" customHeight="1">
      <c r="A1700" s="102"/>
      <c r="B1700" s="102"/>
      <c r="C1700" s="116"/>
      <c r="F1700" s="107"/>
      <c r="G1700" s="10"/>
      <c r="H1700" s="103"/>
      <c r="I1700" s="108">
        <f>Tableau3[[#This Row],[Stock final]]*Tableau3[[#This Row],[P.U.]]</f>
        <v>0</v>
      </c>
      <c r="J1700" s="184"/>
    </row>
    <row r="1701" spans="1:10" ht="19.350000000000001" customHeight="1">
      <c r="A1701" s="102"/>
      <c r="B1701" s="102"/>
      <c r="C1701" s="116"/>
      <c r="F1701" s="107"/>
      <c r="G1701" s="10"/>
      <c r="H1701" s="103"/>
      <c r="I1701" s="108">
        <f>Tableau3[[#This Row],[Stock final]]*Tableau3[[#This Row],[P.U.]]</f>
        <v>0</v>
      </c>
      <c r="J1701" s="184"/>
    </row>
    <row r="1702" spans="1:10" ht="19.350000000000001" customHeight="1">
      <c r="A1702" s="102"/>
      <c r="B1702" s="102"/>
      <c r="C1702" s="116"/>
      <c r="F1702" s="107"/>
      <c r="G1702" s="10"/>
      <c r="H1702" s="103"/>
      <c r="I1702" s="108">
        <f>Tableau3[[#This Row],[Stock final]]*Tableau3[[#This Row],[P.U.]]</f>
        <v>0</v>
      </c>
      <c r="J1702" s="184"/>
    </row>
    <row r="1703" spans="1:10" ht="19.350000000000001" customHeight="1">
      <c r="A1703" s="102"/>
      <c r="B1703" s="102"/>
      <c r="C1703" s="116"/>
      <c r="F1703" s="107"/>
      <c r="G1703" s="10"/>
      <c r="H1703" s="103"/>
      <c r="I1703" s="108">
        <f>Tableau3[[#This Row],[Stock final]]*Tableau3[[#This Row],[P.U.]]</f>
        <v>0</v>
      </c>
      <c r="J1703" s="184"/>
    </row>
    <row r="1704" spans="1:10" ht="19.350000000000001" customHeight="1">
      <c r="A1704" s="102"/>
      <c r="B1704" s="102"/>
      <c r="C1704" s="116"/>
      <c r="F1704" s="107"/>
      <c r="G1704" s="10"/>
      <c r="H1704" s="103"/>
      <c r="I1704" s="108">
        <f>Tableau3[[#This Row],[Stock final]]*Tableau3[[#This Row],[P.U.]]</f>
        <v>0</v>
      </c>
      <c r="J1704" s="184"/>
    </row>
    <row r="1705" spans="1:10" ht="19.350000000000001" customHeight="1">
      <c r="A1705" s="102"/>
      <c r="B1705" s="102"/>
      <c r="C1705" s="116"/>
      <c r="F1705" s="107"/>
      <c r="G1705" s="10"/>
      <c r="H1705" s="103"/>
      <c r="I1705" s="108">
        <f>Tableau3[[#This Row],[Stock final]]*Tableau3[[#This Row],[P.U.]]</f>
        <v>0</v>
      </c>
      <c r="J1705" s="184"/>
    </row>
    <row r="1706" spans="1:10" ht="19.350000000000001" customHeight="1">
      <c r="A1706" s="102"/>
      <c r="B1706" s="102"/>
      <c r="C1706" s="116"/>
      <c r="F1706" s="107"/>
      <c r="G1706" s="10"/>
      <c r="H1706" s="103"/>
      <c r="I1706" s="108">
        <f>Tableau3[[#This Row],[Stock final]]*Tableau3[[#This Row],[P.U.]]</f>
        <v>0</v>
      </c>
      <c r="J1706" s="184"/>
    </row>
    <row r="1707" spans="1:10" ht="19.350000000000001" customHeight="1">
      <c r="A1707" s="102"/>
      <c r="B1707" s="102"/>
      <c r="C1707" s="116"/>
      <c r="F1707" s="107"/>
      <c r="G1707" s="10"/>
      <c r="H1707" s="103"/>
      <c r="I1707" s="108">
        <f>Tableau3[[#This Row],[Stock final]]*Tableau3[[#This Row],[P.U.]]</f>
        <v>0</v>
      </c>
      <c r="J1707" s="184"/>
    </row>
    <row r="1708" spans="1:10" ht="19.350000000000001" customHeight="1">
      <c r="A1708" s="102"/>
      <c r="B1708" s="102"/>
      <c r="C1708" s="116"/>
      <c r="F1708" s="107"/>
      <c r="G1708" s="10"/>
      <c r="H1708" s="103"/>
      <c r="I1708" s="108">
        <f>Tableau3[[#This Row],[Stock final]]*Tableau3[[#This Row],[P.U.]]</f>
        <v>0</v>
      </c>
      <c r="J1708" s="184"/>
    </row>
    <row r="1709" spans="1:10" ht="19.350000000000001" customHeight="1">
      <c r="A1709" s="102"/>
      <c r="B1709" s="102" t="s">
        <v>703</v>
      </c>
      <c r="C1709" s="116"/>
      <c r="D1709" s="11" t="s">
        <v>13</v>
      </c>
      <c r="E1709" s="113" t="s">
        <v>1395</v>
      </c>
      <c r="F1709" s="107"/>
      <c r="G1709" s="10">
        <v>1</v>
      </c>
      <c r="H1709" s="103">
        <v>46.46</v>
      </c>
      <c r="I1709" s="108">
        <f>Tableau3[[#This Row],[Stock final]]*Tableau3[[#This Row],[P.U.]]</f>
        <v>46.46</v>
      </c>
      <c r="J1709" s="184"/>
    </row>
    <row r="1710" spans="1:10" ht="19.350000000000001" customHeight="1">
      <c r="A1710" s="102"/>
      <c r="B1710" s="102" t="s">
        <v>703</v>
      </c>
      <c r="C1710" s="116"/>
      <c r="D1710" s="11" t="s">
        <v>1396</v>
      </c>
      <c r="E1710" s="113" t="s">
        <v>1397</v>
      </c>
      <c r="F1710" s="107"/>
      <c r="G1710" s="10">
        <v>1</v>
      </c>
      <c r="H1710" s="103">
        <v>39.44</v>
      </c>
      <c r="I1710" s="108">
        <f>Tableau3[[#This Row],[Stock final]]*Tableau3[[#This Row],[P.U.]]</f>
        <v>39.44</v>
      </c>
      <c r="J1710" s="184"/>
    </row>
    <row r="1711" spans="1:10" ht="19.350000000000001" customHeight="1">
      <c r="A1711" s="102"/>
      <c r="B1711" s="102" t="s">
        <v>703</v>
      </c>
      <c r="C1711" s="116"/>
      <c r="D1711" s="11" t="s">
        <v>1398</v>
      </c>
      <c r="E1711" s="113" t="s">
        <v>1397</v>
      </c>
      <c r="F1711" s="107"/>
      <c r="G1711" s="10">
        <v>1</v>
      </c>
      <c r="H1711" s="103">
        <v>35.44</v>
      </c>
      <c r="I1711" s="108">
        <f>Tableau3[[#This Row],[Stock final]]*Tableau3[[#This Row],[P.U.]]</f>
        <v>35.44</v>
      </c>
      <c r="J1711" s="184"/>
    </row>
    <row r="1712" spans="1:10" ht="19.350000000000001" customHeight="1">
      <c r="A1712" s="102"/>
      <c r="B1712" s="102" t="s">
        <v>703</v>
      </c>
      <c r="C1712" s="116"/>
      <c r="D1712" s="11" t="s">
        <v>1399</v>
      </c>
      <c r="E1712" s="113" t="s">
        <v>1397</v>
      </c>
      <c r="F1712" s="107"/>
      <c r="G1712" s="10">
        <v>1</v>
      </c>
      <c r="H1712" s="103">
        <v>44.33</v>
      </c>
      <c r="I1712" s="108">
        <f>Tableau3[[#This Row],[Stock final]]*Tableau3[[#This Row],[P.U.]]</f>
        <v>44.33</v>
      </c>
      <c r="J1712" s="184"/>
    </row>
    <row r="1713" spans="1:10" ht="19.350000000000001" customHeight="1">
      <c r="A1713" s="102"/>
      <c r="B1713" s="102" t="s">
        <v>703</v>
      </c>
      <c r="C1713" s="116"/>
      <c r="D1713" s="11" t="s">
        <v>1400</v>
      </c>
      <c r="E1713" s="113" t="s">
        <v>1397</v>
      </c>
      <c r="F1713" s="107"/>
      <c r="G1713" s="10">
        <v>1</v>
      </c>
      <c r="H1713" s="103">
        <v>44.33</v>
      </c>
      <c r="I1713" s="108">
        <f>Tableau3[[#This Row],[Stock final]]*Tableau3[[#This Row],[P.U.]]</f>
        <v>44.33</v>
      </c>
      <c r="J1713" s="184"/>
    </row>
    <row r="1714" spans="1:10" ht="19.350000000000001" customHeight="1">
      <c r="A1714" s="102"/>
      <c r="B1714" s="102" t="s">
        <v>703</v>
      </c>
      <c r="C1714" s="116" t="s">
        <v>1401</v>
      </c>
      <c r="D1714" s="11" t="s">
        <v>1402</v>
      </c>
      <c r="E1714" s="113" t="s">
        <v>1572</v>
      </c>
      <c r="F1714" s="107"/>
      <c r="G1714" s="10">
        <v>1</v>
      </c>
      <c r="H1714" s="103">
        <v>32.53</v>
      </c>
      <c r="I1714" s="108">
        <f>Tableau3[[#This Row],[Stock final]]*Tableau3[[#This Row],[P.U.]]</f>
        <v>32.53</v>
      </c>
      <c r="J1714" s="184"/>
    </row>
    <row r="1715" spans="1:10" ht="19.350000000000001" customHeight="1">
      <c r="A1715" s="102"/>
      <c r="B1715" s="102" t="s">
        <v>703</v>
      </c>
      <c r="C1715" s="116" t="s">
        <v>1404</v>
      </c>
      <c r="D1715" s="11" t="s">
        <v>1402</v>
      </c>
      <c r="E1715" s="113" t="s">
        <v>1573</v>
      </c>
      <c r="F1715" s="107"/>
      <c r="G1715" s="10">
        <v>1</v>
      </c>
      <c r="H1715" s="103">
        <v>32.53</v>
      </c>
      <c r="I1715" s="108">
        <f>Tableau3[[#This Row],[Stock final]]*Tableau3[[#This Row],[P.U.]]</f>
        <v>32.53</v>
      </c>
      <c r="J1715" s="184"/>
    </row>
    <row r="1716" spans="1:10" ht="19.350000000000001" customHeight="1">
      <c r="A1716" s="102"/>
      <c r="B1716" s="102" t="s">
        <v>703</v>
      </c>
      <c r="C1716" s="116" t="s">
        <v>1405</v>
      </c>
      <c r="D1716" s="11" t="s">
        <v>1406</v>
      </c>
      <c r="E1716" s="113" t="s">
        <v>1403</v>
      </c>
      <c r="F1716" s="107"/>
      <c r="G1716" s="10">
        <v>2</v>
      </c>
      <c r="H1716" s="103">
        <v>32.53</v>
      </c>
      <c r="I1716" s="108">
        <f>Tableau3[[#This Row],[Stock final]]*Tableau3[[#This Row],[P.U.]]</f>
        <v>65.06</v>
      </c>
      <c r="J1716" s="184"/>
    </row>
    <row r="1717" spans="1:10" ht="19.350000000000001" customHeight="1">
      <c r="A1717" s="102"/>
      <c r="B1717" s="102" t="s">
        <v>703</v>
      </c>
      <c r="C1717" s="116" t="s">
        <v>740</v>
      </c>
      <c r="D1717" s="11" t="s">
        <v>1407</v>
      </c>
      <c r="E1717" s="113" t="s">
        <v>1408</v>
      </c>
      <c r="F1717" s="107"/>
      <c r="G1717" s="10">
        <v>1</v>
      </c>
      <c r="H1717" s="103">
        <v>32.53</v>
      </c>
      <c r="I1717" s="108">
        <f>Tableau3[[#This Row],[Stock final]]*Tableau3[[#This Row],[P.U.]]</f>
        <v>32.53</v>
      </c>
      <c r="J1717" s="184"/>
    </row>
    <row r="1718" spans="1:10" ht="19.350000000000001" customHeight="1">
      <c r="A1718" s="102"/>
      <c r="B1718" s="102" t="s">
        <v>703</v>
      </c>
      <c r="C1718" s="116" t="s">
        <v>1409</v>
      </c>
      <c r="D1718" s="11" t="s">
        <v>714</v>
      </c>
      <c r="E1718" s="113" t="s">
        <v>1403</v>
      </c>
      <c r="F1718" s="107"/>
      <c r="G1718" s="10">
        <v>1</v>
      </c>
      <c r="H1718" s="103">
        <v>32.53</v>
      </c>
      <c r="I1718" s="108">
        <f>Tableau3[[#This Row],[Stock final]]*Tableau3[[#This Row],[P.U.]]</f>
        <v>32.53</v>
      </c>
      <c r="J1718" s="184"/>
    </row>
    <row r="1719" spans="1:10" ht="19.350000000000001" customHeight="1">
      <c r="A1719" s="102"/>
      <c r="B1719" s="102" t="s">
        <v>703</v>
      </c>
      <c r="C1719" s="116" t="s">
        <v>1410</v>
      </c>
      <c r="D1719" s="11" t="s">
        <v>1407</v>
      </c>
      <c r="E1719" s="113" t="s">
        <v>1403</v>
      </c>
      <c r="F1719" s="107"/>
      <c r="G1719" s="10">
        <v>1</v>
      </c>
      <c r="H1719" s="103">
        <v>32.53</v>
      </c>
      <c r="I1719" s="108">
        <f>Tableau3[[#This Row],[Stock final]]*Tableau3[[#This Row],[P.U.]]</f>
        <v>32.53</v>
      </c>
      <c r="J1719" s="184"/>
    </row>
    <row r="1720" spans="1:10" ht="19.350000000000001" customHeight="1">
      <c r="A1720" s="102"/>
      <c r="B1720" s="102" t="s">
        <v>703</v>
      </c>
      <c r="C1720" s="116" t="s">
        <v>1411</v>
      </c>
      <c r="D1720" s="11" t="s">
        <v>1412</v>
      </c>
      <c r="E1720" s="113" t="s">
        <v>1403</v>
      </c>
      <c r="F1720" s="107"/>
      <c r="G1720" s="10">
        <v>2</v>
      </c>
      <c r="H1720" s="103">
        <v>32.53</v>
      </c>
      <c r="I1720" s="108">
        <f>Tableau3[[#This Row],[Stock final]]*Tableau3[[#This Row],[P.U.]]</f>
        <v>65.06</v>
      </c>
      <c r="J1720" s="184"/>
    </row>
    <row r="1721" spans="1:10" ht="19.350000000000001" customHeight="1">
      <c r="A1721" s="102" t="s">
        <v>653</v>
      </c>
      <c r="B1721" s="105" t="s">
        <v>703</v>
      </c>
      <c r="C1721" s="116" t="s">
        <v>704</v>
      </c>
      <c r="D1721" s="114" t="s">
        <v>705</v>
      </c>
      <c r="E1721" s="113" t="s">
        <v>706</v>
      </c>
      <c r="F1721" s="107"/>
      <c r="G1721" s="10">
        <v>9</v>
      </c>
      <c r="H1721" s="103">
        <v>48.47</v>
      </c>
      <c r="I1721" s="108">
        <f>Tableau3[[#This Row],[Stock final]]*Tableau3[[#This Row],[P.U.]]</f>
        <v>436.23</v>
      </c>
      <c r="J1721" s="184"/>
    </row>
    <row r="1722" spans="1:10" ht="19.350000000000001" customHeight="1">
      <c r="A1722" s="102"/>
      <c r="B1722" s="102" t="s">
        <v>703</v>
      </c>
      <c r="C1722" s="116" t="s">
        <v>707</v>
      </c>
      <c r="D1722" s="114" t="s">
        <v>708</v>
      </c>
      <c r="E1722" s="113" t="s">
        <v>706</v>
      </c>
      <c r="F1722" s="107"/>
      <c r="G1722" s="10">
        <v>3</v>
      </c>
      <c r="H1722" s="103">
        <v>48.47</v>
      </c>
      <c r="I1722" s="108">
        <f>Tableau3[[#This Row],[Stock final]]*Tableau3[[#This Row],[P.U.]]</f>
        <v>145.41</v>
      </c>
      <c r="J1722" s="184"/>
    </row>
    <row r="1723" spans="1:10" ht="19.350000000000001" customHeight="1">
      <c r="A1723" s="102"/>
      <c r="B1723" s="102" t="s">
        <v>703</v>
      </c>
      <c r="C1723" s="116" t="s">
        <v>709</v>
      </c>
      <c r="D1723" s="114" t="s">
        <v>710</v>
      </c>
      <c r="E1723" s="113" t="s">
        <v>706</v>
      </c>
      <c r="F1723" s="107"/>
      <c r="G1723" s="10">
        <v>3</v>
      </c>
      <c r="H1723" s="103">
        <v>51.77</v>
      </c>
      <c r="I1723" s="108">
        <f>Tableau3[[#This Row],[Stock final]]*Tableau3[[#This Row],[P.U.]]</f>
        <v>155.31</v>
      </c>
      <c r="J1723" s="184"/>
    </row>
    <row r="1724" spans="1:10" ht="19.350000000000001" customHeight="1">
      <c r="A1724" s="102"/>
      <c r="B1724" s="102" t="s">
        <v>703</v>
      </c>
      <c r="C1724" s="116" t="s">
        <v>711</v>
      </c>
      <c r="D1724" s="114" t="s">
        <v>712</v>
      </c>
      <c r="E1724" s="113" t="s">
        <v>706</v>
      </c>
      <c r="F1724" s="107"/>
      <c r="G1724" s="10"/>
      <c r="H1724" s="103">
        <v>94.58</v>
      </c>
      <c r="I1724" s="108">
        <f>Tableau3[[#This Row],[Stock final]]*Tableau3[[#This Row],[P.U.]]</f>
        <v>0</v>
      </c>
      <c r="J1724" s="184"/>
    </row>
    <row r="1725" spans="1:10" ht="19.350000000000001" customHeight="1">
      <c r="A1725" s="102"/>
      <c r="B1725" s="102" t="s">
        <v>703</v>
      </c>
      <c r="C1725" s="116" t="s">
        <v>713</v>
      </c>
      <c r="D1725" s="114" t="s">
        <v>714</v>
      </c>
      <c r="E1725" s="113" t="s">
        <v>706</v>
      </c>
      <c r="F1725" s="107"/>
      <c r="G1725" s="10"/>
      <c r="H1725" s="103">
        <v>94.58</v>
      </c>
      <c r="I1725" s="108">
        <f>Tableau3[[#This Row],[Stock final]]*Tableau3[[#This Row],[P.U.]]</f>
        <v>0</v>
      </c>
      <c r="J1725" s="184"/>
    </row>
    <row r="1726" spans="1:10" ht="19.350000000000001" customHeight="1">
      <c r="A1726" s="102"/>
      <c r="B1726" s="102" t="s">
        <v>703</v>
      </c>
      <c r="C1726" s="116" t="s">
        <v>715</v>
      </c>
      <c r="D1726" s="114" t="s">
        <v>716</v>
      </c>
      <c r="E1726" s="113" t="s">
        <v>717</v>
      </c>
      <c r="F1726" s="107"/>
      <c r="G1726" s="10">
        <v>6</v>
      </c>
      <c r="H1726" s="103">
        <v>50.12</v>
      </c>
      <c r="I1726" s="108">
        <f>Tableau3[[#This Row],[Stock final]]*Tableau3[[#This Row],[P.U.]]</f>
        <v>300.71999999999997</v>
      </c>
      <c r="J1726" s="184"/>
    </row>
    <row r="1727" spans="1:10" ht="19.350000000000001" customHeight="1">
      <c r="A1727" s="102"/>
      <c r="B1727" s="102" t="s">
        <v>703</v>
      </c>
      <c r="C1727" s="116" t="s">
        <v>718</v>
      </c>
      <c r="D1727" s="114" t="s">
        <v>13</v>
      </c>
      <c r="E1727" s="113" t="s">
        <v>717</v>
      </c>
      <c r="F1727" s="107"/>
      <c r="G1727" s="10"/>
      <c r="H1727" s="103">
        <v>46.46</v>
      </c>
      <c r="I1727" s="108">
        <f>Tableau3[[#This Row],[Stock final]]*Tableau3[[#This Row],[P.U.]]</f>
        <v>0</v>
      </c>
      <c r="J1727" s="184"/>
    </row>
    <row r="1728" spans="1:10" ht="19.350000000000001" customHeight="1">
      <c r="A1728" s="102"/>
      <c r="B1728" s="102" t="s">
        <v>703</v>
      </c>
      <c r="C1728" s="116" t="s">
        <v>719</v>
      </c>
      <c r="D1728" s="114" t="s">
        <v>720</v>
      </c>
      <c r="E1728" s="113" t="s">
        <v>717</v>
      </c>
      <c r="F1728" s="107"/>
      <c r="G1728" s="10"/>
      <c r="H1728" s="103">
        <v>46.46</v>
      </c>
      <c r="I1728" s="108">
        <f>Tableau3[[#This Row],[Stock final]]*Tableau3[[#This Row],[P.U.]]</f>
        <v>0</v>
      </c>
      <c r="J1728" s="184"/>
    </row>
    <row r="1729" spans="1:10" ht="19.350000000000001" customHeight="1">
      <c r="A1729" s="102"/>
      <c r="B1729" s="102" t="s">
        <v>703</v>
      </c>
      <c r="C1729" s="116" t="s">
        <v>721</v>
      </c>
      <c r="D1729" s="114" t="s">
        <v>722</v>
      </c>
      <c r="E1729" s="113" t="s">
        <v>717</v>
      </c>
      <c r="F1729" s="107"/>
      <c r="G1729" s="10"/>
      <c r="H1729" s="103">
        <v>79.31</v>
      </c>
      <c r="I1729" s="108">
        <f>Tableau3[[#This Row],[Stock final]]*Tableau3[[#This Row],[P.U.]]</f>
        <v>0</v>
      </c>
      <c r="J1729" s="184"/>
    </row>
    <row r="1730" spans="1:10" ht="19.350000000000001" customHeight="1">
      <c r="A1730" s="102"/>
      <c r="B1730" s="102" t="s">
        <v>703</v>
      </c>
      <c r="C1730" s="116" t="s">
        <v>723</v>
      </c>
      <c r="D1730" s="114" t="s">
        <v>724</v>
      </c>
      <c r="E1730" s="113" t="s">
        <v>717</v>
      </c>
      <c r="F1730" s="107"/>
      <c r="G1730" s="10">
        <v>2</v>
      </c>
      <c r="H1730" s="103">
        <v>210</v>
      </c>
      <c r="I1730" s="108">
        <f>Tableau3[[#This Row],[Stock final]]*Tableau3[[#This Row],[P.U.]]</f>
        <v>420</v>
      </c>
      <c r="J1730" s="184"/>
    </row>
    <row r="1731" spans="1:10" ht="19.350000000000001" customHeight="1">
      <c r="A1731" s="102"/>
      <c r="B1731" s="102" t="s">
        <v>703</v>
      </c>
      <c r="C1731" s="116" t="s">
        <v>725</v>
      </c>
      <c r="D1731" s="114" t="s">
        <v>726</v>
      </c>
      <c r="E1731" s="113" t="s">
        <v>717</v>
      </c>
      <c r="F1731" s="107"/>
      <c r="G1731" s="10">
        <v>1</v>
      </c>
      <c r="H1731" s="103">
        <v>92.22</v>
      </c>
      <c r="I1731" s="108">
        <f>Tableau3[[#This Row],[Stock final]]*Tableau3[[#This Row],[P.U.]]</f>
        <v>92.22</v>
      </c>
      <c r="J1731" s="184"/>
    </row>
    <row r="1732" spans="1:10" ht="19.350000000000001" customHeight="1">
      <c r="A1732" s="102"/>
      <c r="B1732" s="102" t="s">
        <v>703</v>
      </c>
      <c r="C1732" s="116" t="s">
        <v>727</v>
      </c>
      <c r="D1732" s="114" t="s">
        <v>728</v>
      </c>
      <c r="E1732" s="113" t="s">
        <v>717</v>
      </c>
      <c r="F1732" s="107"/>
      <c r="G1732" s="10">
        <v>1</v>
      </c>
      <c r="H1732" s="103">
        <v>92.22</v>
      </c>
      <c r="I1732" s="108">
        <f>Tableau3[[#This Row],[Stock final]]*Tableau3[[#This Row],[P.U.]]</f>
        <v>92.22</v>
      </c>
      <c r="J1732" s="184"/>
    </row>
    <row r="1733" spans="1:10" ht="19.350000000000001" customHeight="1">
      <c r="A1733" s="102"/>
      <c r="B1733" s="102" t="s">
        <v>703</v>
      </c>
      <c r="C1733" s="116" t="s">
        <v>729</v>
      </c>
      <c r="D1733" s="114" t="s">
        <v>730</v>
      </c>
      <c r="E1733" s="113" t="s">
        <v>717</v>
      </c>
      <c r="F1733" s="107"/>
      <c r="G1733" s="10">
        <v>1</v>
      </c>
      <c r="H1733" s="103">
        <v>92.22</v>
      </c>
      <c r="I1733" s="108">
        <f>Tableau3[[#This Row],[Stock final]]*Tableau3[[#This Row],[P.U.]]</f>
        <v>92.22</v>
      </c>
      <c r="J1733" s="184"/>
    </row>
    <row r="1734" spans="1:10" ht="19.350000000000001" customHeight="1">
      <c r="A1734" s="102"/>
      <c r="B1734" s="102" t="s">
        <v>703</v>
      </c>
      <c r="C1734" s="116" t="s">
        <v>731</v>
      </c>
      <c r="D1734" s="114" t="s">
        <v>732</v>
      </c>
      <c r="E1734" s="113" t="s">
        <v>717</v>
      </c>
      <c r="F1734" s="107"/>
      <c r="G1734" s="10">
        <v>3</v>
      </c>
      <c r="H1734" s="103">
        <v>92.22</v>
      </c>
      <c r="I1734" s="108">
        <f>Tableau3[[#This Row],[Stock final]]*Tableau3[[#This Row],[P.U.]]</f>
        <v>276.65999999999997</v>
      </c>
      <c r="J1734" s="184"/>
    </row>
    <row r="1735" spans="1:10" ht="19.350000000000001" customHeight="1">
      <c r="A1735" s="102"/>
      <c r="B1735" s="102" t="s">
        <v>703</v>
      </c>
      <c r="C1735" s="116" t="s">
        <v>733</v>
      </c>
      <c r="D1735" s="114" t="s">
        <v>734</v>
      </c>
      <c r="E1735" s="113" t="s">
        <v>717</v>
      </c>
      <c r="F1735" s="107"/>
      <c r="G1735" s="10">
        <v>1</v>
      </c>
      <c r="H1735" s="103">
        <v>92.22</v>
      </c>
      <c r="I1735" s="108">
        <f>Tableau3[[#This Row],[Stock final]]*Tableau3[[#This Row],[P.U.]]</f>
        <v>92.22</v>
      </c>
      <c r="J1735" s="184"/>
    </row>
    <row r="1736" spans="1:10" ht="19.350000000000001" customHeight="1">
      <c r="A1736" s="102"/>
      <c r="B1736" s="102" t="s">
        <v>703</v>
      </c>
      <c r="C1736" s="116" t="s">
        <v>735</v>
      </c>
      <c r="D1736" s="114" t="s">
        <v>736</v>
      </c>
      <c r="E1736" s="113" t="s">
        <v>737</v>
      </c>
      <c r="F1736" s="107"/>
      <c r="G1736" s="10">
        <v>11</v>
      </c>
      <c r="H1736" s="103">
        <v>29.11</v>
      </c>
      <c r="I1736" s="108">
        <f>Tableau3[[#This Row],[Stock final]]*Tableau3[[#This Row],[P.U.]]</f>
        <v>320.20999999999998</v>
      </c>
      <c r="J1736" s="184"/>
    </row>
    <row r="1737" spans="1:10" ht="19.350000000000001" customHeight="1">
      <c r="A1737" s="102"/>
      <c r="B1737" s="102" t="s">
        <v>703</v>
      </c>
      <c r="C1737" s="116" t="s">
        <v>738</v>
      </c>
      <c r="D1737" s="114" t="s">
        <v>739</v>
      </c>
      <c r="E1737" s="113" t="s">
        <v>737</v>
      </c>
      <c r="F1737" s="107"/>
      <c r="G1737" s="10">
        <v>3</v>
      </c>
      <c r="H1737" s="103">
        <v>21.05</v>
      </c>
      <c r="I1737" s="108">
        <f>Tableau3[[#This Row],[Stock final]]*Tableau3[[#This Row],[P.U.]]</f>
        <v>63.150000000000006</v>
      </c>
      <c r="J1737" s="184"/>
    </row>
    <row r="1738" spans="1:10" ht="19.350000000000001" customHeight="1">
      <c r="A1738" s="102"/>
      <c r="B1738" s="102" t="s">
        <v>703</v>
      </c>
      <c r="C1738" s="116" t="s">
        <v>740</v>
      </c>
      <c r="D1738" s="114" t="s">
        <v>741</v>
      </c>
      <c r="E1738" s="113" t="s">
        <v>737</v>
      </c>
      <c r="F1738" s="107"/>
      <c r="G1738" s="10"/>
      <c r="H1738" s="103">
        <v>21.05</v>
      </c>
      <c r="I1738" s="108">
        <f>Tableau3[[#This Row],[Stock final]]*Tableau3[[#This Row],[P.U.]]</f>
        <v>0</v>
      </c>
      <c r="J1738" s="184"/>
    </row>
    <row r="1739" spans="1:10" ht="19.350000000000001" customHeight="1">
      <c r="A1739" s="102"/>
      <c r="B1739" s="102" t="s">
        <v>703</v>
      </c>
      <c r="C1739" s="116" t="s">
        <v>742</v>
      </c>
      <c r="D1739" s="114" t="s">
        <v>743</v>
      </c>
      <c r="E1739" s="113" t="s">
        <v>737</v>
      </c>
      <c r="F1739" s="107"/>
      <c r="G1739" s="10"/>
      <c r="H1739" s="103">
        <v>28.95</v>
      </c>
      <c r="I1739" s="108">
        <f>Tableau3[[#This Row],[Stock final]]*Tableau3[[#This Row],[P.U.]]</f>
        <v>0</v>
      </c>
      <c r="J1739" s="184"/>
    </row>
    <row r="1740" spans="1:10" ht="19.350000000000001" customHeight="1">
      <c r="A1740" s="102"/>
      <c r="B1740" s="102" t="s">
        <v>703</v>
      </c>
      <c r="C1740" s="116" t="s">
        <v>744</v>
      </c>
      <c r="D1740" s="114" t="s">
        <v>745</v>
      </c>
      <c r="E1740" s="113" t="s">
        <v>737</v>
      </c>
      <c r="F1740" s="107"/>
      <c r="G1740" s="10"/>
      <c r="H1740" s="103">
        <v>26.18</v>
      </c>
      <c r="I1740" s="108">
        <f>Tableau3[[#This Row],[Stock final]]*Tableau3[[#This Row],[P.U.]]</f>
        <v>0</v>
      </c>
      <c r="J1740" s="184"/>
    </row>
    <row r="1741" spans="1:10" ht="19.350000000000001" customHeight="1">
      <c r="A1741" s="102"/>
      <c r="B1741" s="102" t="s">
        <v>703</v>
      </c>
      <c r="C1741" s="116" t="s">
        <v>746</v>
      </c>
      <c r="D1741" s="114" t="s">
        <v>747</v>
      </c>
      <c r="E1741" s="113" t="s">
        <v>737</v>
      </c>
      <c r="F1741" s="107"/>
      <c r="G1741" s="10">
        <v>6</v>
      </c>
      <c r="H1741" s="103">
        <v>28.95</v>
      </c>
      <c r="I1741" s="108">
        <f>Tableau3[[#This Row],[Stock final]]*Tableau3[[#This Row],[P.U.]]</f>
        <v>173.7</v>
      </c>
      <c r="J1741" s="184"/>
    </row>
    <row r="1742" spans="1:10" ht="19.350000000000001" customHeight="1">
      <c r="A1742" s="102"/>
      <c r="B1742" s="102" t="s">
        <v>703</v>
      </c>
      <c r="C1742" s="116" t="s">
        <v>748</v>
      </c>
      <c r="D1742" s="114" t="s">
        <v>732</v>
      </c>
      <c r="E1742" s="113" t="s">
        <v>737</v>
      </c>
      <c r="F1742" s="107"/>
      <c r="G1742" s="10"/>
      <c r="H1742" s="103">
        <v>28.95</v>
      </c>
      <c r="I1742" s="108">
        <f>Tableau3[[#This Row],[Stock final]]*Tableau3[[#This Row],[P.U.]]</f>
        <v>0</v>
      </c>
      <c r="J1742" s="184"/>
    </row>
    <row r="1743" spans="1:10" ht="19.350000000000001" customHeight="1">
      <c r="A1743" s="102"/>
      <c r="B1743" s="102" t="s">
        <v>703</v>
      </c>
      <c r="C1743" s="116" t="s">
        <v>749</v>
      </c>
      <c r="D1743" s="114" t="s">
        <v>750</v>
      </c>
      <c r="E1743" s="113" t="s">
        <v>737</v>
      </c>
      <c r="F1743" s="107"/>
      <c r="G1743" s="10">
        <v>1</v>
      </c>
      <c r="H1743" s="103">
        <v>39.44</v>
      </c>
      <c r="I1743" s="108">
        <f>Tableau3[[#This Row],[Stock final]]*Tableau3[[#This Row],[P.U.]]</f>
        <v>39.44</v>
      </c>
      <c r="J1743" s="184"/>
    </row>
    <row r="1744" spans="1:10" ht="19.350000000000001" customHeight="1">
      <c r="A1744" s="102"/>
      <c r="B1744" s="102" t="s">
        <v>703</v>
      </c>
      <c r="C1744" s="116" t="s">
        <v>751</v>
      </c>
      <c r="D1744" s="114" t="s">
        <v>752</v>
      </c>
      <c r="E1744" s="113" t="s">
        <v>753</v>
      </c>
      <c r="F1744" s="107"/>
      <c r="G1744" s="10"/>
      <c r="H1744" s="103">
        <v>21.05</v>
      </c>
      <c r="I1744" s="108">
        <f>Tableau3[[#This Row],[Stock final]]*Tableau3[[#This Row],[P.U.]]</f>
        <v>0</v>
      </c>
      <c r="J1744" s="184"/>
    </row>
    <row r="1745" spans="1:10" ht="19.350000000000001" customHeight="1">
      <c r="A1745" s="102"/>
      <c r="B1745" s="102" t="s">
        <v>703</v>
      </c>
      <c r="C1745" s="116" t="s">
        <v>754</v>
      </c>
      <c r="D1745" s="114" t="s">
        <v>700</v>
      </c>
      <c r="E1745" s="113" t="s">
        <v>755</v>
      </c>
      <c r="F1745" s="107"/>
      <c r="G1745" s="10">
        <v>6</v>
      </c>
      <c r="H1745" s="103">
        <v>26.62</v>
      </c>
      <c r="I1745" s="108">
        <f>Tableau3[[#This Row],[Stock final]]*Tableau3[[#This Row],[P.U.]]</f>
        <v>159.72</v>
      </c>
      <c r="J1745" s="184"/>
    </row>
    <row r="1746" spans="1:10" ht="19.350000000000001" customHeight="1">
      <c r="A1746" s="102"/>
      <c r="B1746" s="102" t="s">
        <v>703</v>
      </c>
      <c r="C1746" s="116" t="s">
        <v>756</v>
      </c>
      <c r="D1746" s="114" t="s">
        <v>757</v>
      </c>
      <c r="E1746" s="113" t="s">
        <v>753</v>
      </c>
      <c r="F1746" s="107"/>
      <c r="G1746" s="10"/>
      <c r="H1746" s="103">
        <v>28.95</v>
      </c>
      <c r="I1746" s="108">
        <f>Tableau3[[#This Row],[Stock final]]*Tableau3[[#This Row],[P.U.]]</f>
        <v>0</v>
      </c>
      <c r="J1746" s="184"/>
    </row>
    <row r="1747" spans="1:10" ht="19.350000000000001" customHeight="1">
      <c r="A1747" s="102"/>
      <c r="B1747" s="102" t="s">
        <v>703</v>
      </c>
      <c r="C1747" s="116" t="s">
        <v>758</v>
      </c>
      <c r="D1747" s="114" t="s">
        <v>759</v>
      </c>
      <c r="F1747" s="107"/>
      <c r="G1747" s="10">
        <v>1</v>
      </c>
      <c r="H1747" s="103">
        <v>6.36</v>
      </c>
      <c r="I1747" s="108">
        <f>Tableau3[[#This Row],[Stock final]]*Tableau3[[#This Row],[P.U.]]</f>
        <v>6.36</v>
      </c>
      <c r="J1747" s="184"/>
    </row>
    <row r="1748" spans="1:10" ht="19.350000000000001" customHeight="1">
      <c r="A1748" s="102"/>
      <c r="B1748" s="102" t="s">
        <v>703</v>
      </c>
      <c r="C1748" s="116" t="s">
        <v>760</v>
      </c>
      <c r="D1748" s="114" t="s">
        <v>761</v>
      </c>
      <c r="F1748" s="107"/>
      <c r="G1748" s="10"/>
      <c r="H1748" s="103">
        <v>6.36</v>
      </c>
      <c r="I1748" s="108">
        <f>Tableau3[[#This Row],[Stock final]]*Tableau3[[#This Row],[P.U.]]</f>
        <v>0</v>
      </c>
      <c r="J1748" s="184"/>
    </row>
    <row r="1749" spans="1:10" ht="19.350000000000001" customHeight="1">
      <c r="A1749" s="102"/>
      <c r="B1749" s="102" t="s">
        <v>703</v>
      </c>
      <c r="C1749" s="116" t="s">
        <v>762</v>
      </c>
      <c r="D1749" s="114" t="s">
        <v>763</v>
      </c>
      <c r="F1749" s="107"/>
      <c r="G1749" s="10"/>
      <c r="H1749" s="103">
        <v>18.84</v>
      </c>
      <c r="I1749" s="108">
        <f>Tableau3[[#This Row],[Stock final]]*Tableau3[[#This Row],[P.U.]]</f>
        <v>0</v>
      </c>
      <c r="J1749" s="184"/>
    </row>
    <row r="1750" spans="1:10" ht="19.350000000000001" customHeight="1">
      <c r="A1750" s="102"/>
      <c r="B1750" s="102" t="s">
        <v>703</v>
      </c>
      <c r="C1750" s="116" t="s">
        <v>764</v>
      </c>
      <c r="D1750" s="114" t="s">
        <v>765</v>
      </c>
      <c r="F1750" s="107"/>
      <c r="G1750" s="10"/>
      <c r="H1750" s="103">
        <v>13.32</v>
      </c>
      <c r="I1750" s="108">
        <f>Tableau3[[#This Row],[Stock final]]*Tableau3[[#This Row],[P.U.]]</f>
        <v>0</v>
      </c>
      <c r="J1750" s="184"/>
    </row>
    <row r="1751" spans="1:10" ht="19.350000000000001" customHeight="1">
      <c r="A1751" s="102"/>
      <c r="B1751" s="102"/>
      <c r="C1751" s="116"/>
      <c r="F1751" s="107"/>
      <c r="G1751" s="10"/>
      <c r="H1751" s="103"/>
      <c r="I1751" s="108">
        <f>Tableau3[[#This Row],[Stock final]]*Tableau3[[#This Row],[P.U.]]</f>
        <v>0</v>
      </c>
      <c r="J1751" s="184"/>
    </row>
    <row r="1752" spans="1:10" ht="19.350000000000001" customHeight="1">
      <c r="A1752" s="102"/>
      <c r="B1752" s="102"/>
      <c r="C1752" s="116"/>
      <c r="F1752" s="107"/>
      <c r="G1752" s="10"/>
      <c r="H1752" s="103"/>
      <c r="I1752" s="108">
        <f>Tableau3[[#This Row],[Stock final]]*Tableau3[[#This Row],[P.U.]]</f>
        <v>0</v>
      </c>
      <c r="J1752" s="184"/>
    </row>
    <row r="1753" spans="1:10" ht="19.350000000000001" customHeight="1">
      <c r="A1753" s="102"/>
      <c r="B1753" s="102"/>
      <c r="C1753" s="116"/>
      <c r="F1753" s="107"/>
      <c r="G1753" s="10"/>
      <c r="H1753" s="103"/>
      <c r="I1753" s="108">
        <f>Tableau3[[#This Row],[Stock final]]*Tableau3[[#This Row],[P.U.]]</f>
        <v>0</v>
      </c>
      <c r="J1753" s="184"/>
    </row>
    <row r="1754" spans="1:10" ht="19.350000000000001" customHeight="1">
      <c r="A1754" s="102"/>
      <c r="B1754" s="102"/>
      <c r="C1754" s="116"/>
      <c r="F1754" s="107"/>
      <c r="G1754" s="10"/>
      <c r="H1754" s="103"/>
      <c r="I1754" s="108">
        <f>Tableau3[[#This Row],[Stock final]]*Tableau3[[#This Row],[P.U.]]</f>
        <v>0</v>
      </c>
      <c r="J1754" s="184"/>
    </row>
    <row r="1755" spans="1:10" ht="19.350000000000001" customHeight="1">
      <c r="A1755" s="102"/>
      <c r="B1755" s="102"/>
      <c r="C1755" s="116"/>
      <c r="F1755" s="107"/>
      <c r="G1755" s="10"/>
      <c r="H1755" s="103"/>
      <c r="I1755" s="108">
        <f>Tableau3[[#This Row],[Stock final]]*Tableau3[[#This Row],[P.U.]]</f>
        <v>0</v>
      </c>
      <c r="J1755" s="184"/>
    </row>
    <row r="1756" spans="1:10" ht="19.350000000000001" customHeight="1">
      <c r="A1756" s="102"/>
      <c r="B1756" s="109" t="s">
        <v>814</v>
      </c>
      <c r="C1756" s="116" t="s">
        <v>815</v>
      </c>
      <c r="D1756" s="114" t="s">
        <v>816</v>
      </c>
      <c r="F1756" s="107"/>
      <c r="G1756" s="10">
        <v>10</v>
      </c>
      <c r="H1756" s="103">
        <v>3.84</v>
      </c>
      <c r="I1756" s="108">
        <f>Tableau3[[#This Row],[Stock final]]*Tableau3[[#This Row],[P.U.]]</f>
        <v>38.4</v>
      </c>
      <c r="J1756" s="184"/>
    </row>
    <row r="1757" spans="1:10" ht="19.350000000000001" customHeight="1">
      <c r="A1757" s="102"/>
      <c r="B1757" s="102" t="s">
        <v>814</v>
      </c>
      <c r="C1757" s="116" t="s">
        <v>817</v>
      </c>
      <c r="D1757" s="114" t="s">
        <v>818</v>
      </c>
      <c r="F1757" s="107"/>
      <c r="G1757" s="10"/>
      <c r="H1757" s="103">
        <v>2.1800000000000002</v>
      </c>
      <c r="I1757" s="108">
        <f>Tableau3[[#This Row],[Stock final]]*Tableau3[[#This Row],[P.U.]]</f>
        <v>0</v>
      </c>
      <c r="J1757" s="184"/>
    </row>
    <row r="1758" spans="1:10" ht="19.350000000000001" customHeight="1">
      <c r="A1758" s="102"/>
      <c r="B1758" s="102" t="s">
        <v>814</v>
      </c>
      <c r="C1758" s="116" t="s">
        <v>819</v>
      </c>
      <c r="D1758" s="114" t="s">
        <v>820</v>
      </c>
      <c r="E1758" s="113" t="s">
        <v>413</v>
      </c>
      <c r="F1758" s="107"/>
      <c r="G1758" s="10">
        <v>17</v>
      </c>
      <c r="H1758" s="103">
        <v>4.3600000000000003</v>
      </c>
      <c r="I1758" s="108">
        <f>Tableau3[[#This Row],[Stock final]]*Tableau3[[#This Row],[P.U.]]</f>
        <v>74.12</v>
      </c>
      <c r="J1758" s="184"/>
    </row>
    <row r="1759" spans="1:10" ht="19.350000000000001" customHeight="1">
      <c r="A1759" s="102"/>
      <c r="B1759" s="102" t="s">
        <v>814</v>
      </c>
      <c r="C1759" s="116" t="s">
        <v>821</v>
      </c>
      <c r="D1759" s="114" t="s">
        <v>822</v>
      </c>
      <c r="E1759" s="113" t="s">
        <v>413</v>
      </c>
      <c r="F1759" s="107"/>
      <c r="G1759" s="10">
        <v>20</v>
      </c>
      <c r="H1759" s="103">
        <v>18.79</v>
      </c>
      <c r="I1759" s="108">
        <f>Tableau3[[#This Row],[Stock final]]*Tableau3[[#This Row],[P.U.]]</f>
        <v>375.79999999999995</v>
      </c>
      <c r="J1759" s="184"/>
    </row>
    <row r="1760" spans="1:10" ht="19.350000000000001" customHeight="1">
      <c r="A1760" s="102"/>
      <c r="B1760" s="102" t="s">
        <v>814</v>
      </c>
      <c r="C1760" s="116" t="s">
        <v>823</v>
      </c>
      <c r="D1760" s="114" t="s">
        <v>824</v>
      </c>
      <c r="E1760" s="113" t="s">
        <v>413</v>
      </c>
      <c r="F1760" s="107"/>
      <c r="G1760" s="10"/>
      <c r="H1760" s="103">
        <v>5.73</v>
      </c>
      <c r="I1760" s="108">
        <f>Tableau3[[#This Row],[Stock final]]*Tableau3[[#This Row],[P.U.]]</f>
        <v>0</v>
      </c>
      <c r="J1760" s="184"/>
    </row>
    <row r="1761" spans="1:10" ht="19.350000000000001" customHeight="1">
      <c r="A1761" s="102"/>
      <c r="B1761" s="102" t="s">
        <v>814</v>
      </c>
      <c r="C1761" s="116" t="s">
        <v>825</v>
      </c>
      <c r="D1761" s="114" t="s">
        <v>826</v>
      </c>
      <c r="E1761" s="113" t="s">
        <v>413</v>
      </c>
      <c r="F1761" s="107"/>
      <c r="G1761" s="10">
        <v>8</v>
      </c>
      <c r="H1761" s="103">
        <v>22.68</v>
      </c>
      <c r="I1761" s="108">
        <f>Tableau3[[#This Row],[Stock final]]*Tableau3[[#This Row],[P.U.]]</f>
        <v>181.44</v>
      </c>
      <c r="J1761" s="184"/>
    </row>
    <row r="1762" spans="1:10" ht="19.350000000000001" customHeight="1">
      <c r="A1762" s="102"/>
      <c r="B1762" s="102" t="s">
        <v>814</v>
      </c>
      <c r="C1762" s="116" t="s">
        <v>827</v>
      </c>
      <c r="D1762" s="114" t="s">
        <v>828</v>
      </c>
      <c r="E1762" s="113" t="s">
        <v>829</v>
      </c>
      <c r="F1762" s="107"/>
      <c r="G1762" s="10">
        <v>20</v>
      </c>
      <c r="H1762" s="103">
        <v>2.78</v>
      </c>
      <c r="I1762" s="108">
        <f>Tableau3[[#This Row],[Stock final]]*Tableau3[[#This Row],[P.U.]]</f>
        <v>55.599999999999994</v>
      </c>
      <c r="J1762" s="184"/>
    </row>
    <row r="1763" spans="1:10" ht="19.350000000000001" customHeight="1">
      <c r="A1763" s="102"/>
      <c r="B1763" s="102" t="s">
        <v>814</v>
      </c>
      <c r="C1763" s="116" t="s">
        <v>830</v>
      </c>
      <c r="D1763" s="114" t="s">
        <v>831</v>
      </c>
      <c r="E1763" s="113" t="s">
        <v>829</v>
      </c>
      <c r="F1763" s="107"/>
      <c r="G1763" s="10"/>
      <c r="H1763" s="103">
        <v>5.73</v>
      </c>
      <c r="I1763" s="108">
        <f>Tableau3[[#This Row],[Stock final]]*Tableau3[[#This Row],[P.U.]]</f>
        <v>0</v>
      </c>
      <c r="J1763" s="184"/>
    </row>
    <row r="1764" spans="1:10" ht="19.350000000000001" customHeight="1">
      <c r="A1764" s="102"/>
      <c r="B1764" s="102" t="s">
        <v>814</v>
      </c>
      <c r="C1764" s="116" t="s">
        <v>832</v>
      </c>
      <c r="D1764" s="114" t="s">
        <v>833</v>
      </c>
      <c r="E1764" s="113" t="s">
        <v>834</v>
      </c>
      <c r="F1764" s="107"/>
      <c r="G1764" s="10"/>
      <c r="H1764" s="103">
        <v>8.16</v>
      </c>
      <c r="I1764" s="108">
        <f>Tableau3[[#This Row],[Stock final]]*Tableau3[[#This Row],[P.U.]]</f>
        <v>0</v>
      </c>
      <c r="J1764" s="184"/>
    </row>
    <row r="1765" spans="1:10" ht="19.350000000000001" customHeight="1">
      <c r="A1765" s="102"/>
      <c r="B1765" s="102" t="s">
        <v>814</v>
      </c>
      <c r="C1765" s="116" t="s">
        <v>835</v>
      </c>
      <c r="D1765" s="114" t="s">
        <v>836</v>
      </c>
      <c r="E1765" s="113" t="s">
        <v>829</v>
      </c>
      <c r="F1765" s="107"/>
      <c r="G1765" s="10"/>
      <c r="H1765" s="103"/>
      <c r="I1765" s="108">
        <f>Tableau3[[#This Row],[Stock final]]*Tableau3[[#This Row],[P.U.]]</f>
        <v>0</v>
      </c>
      <c r="J1765" s="184"/>
    </row>
    <row r="1766" spans="1:10" ht="19.350000000000001" customHeight="1">
      <c r="A1766" s="102"/>
      <c r="B1766" s="102" t="s">
        <v>814</v>
      </c>
      <c r="C1766" s="116" t="s">
        <v>837</v>
      </c>
      <c r="D1766" s="114" t="s">
        <v>838</v>
      </c>
      <c r="E1766" s="113" t="s">
        <v>341</v>
      </c>
      <c r="F1766" s="107"/>
      <c r="G1766" s="10"/>
      <c r="H1766" s="103">
        <v>3.22</v>
      </c>
      <c r="I1766" s="108">
        <f>Tableau3[[#This Row],[Stock final]]*Tableau3[[#This Row],[P.U.]]</f>
        <v>0</v>
      </c>
      <c r="J1766" s="184"/>
    </row>
    <row r="1767" spans="1:10" ht="19.350000000000001" customHeight="1">
      <c r="A1767" s="102"/>
      <c r="B1767" s="102" t="s">
        <v>814</v>
      </c>
      <c r="C1767" s="116" t="s">
        <v>839</v>
      </c>
      <c r="D1767" s="114" t="s">
        <v>840</v>
      </c>
      <c r="E1767" s="113" t="s">
        <v>341</v>
      </c>
      <c r="F1767" s="107"/>
      <c r="G1767" s="10">
        <v>26</v>
      </c>
      <c r="H1767" s="103">
        <v>4.3600000000000003</v>
      </c>
      <c r="I1767" s="108">
        <f>Tableau3[[#This Row],[Stock final]]*Tableau3[[#This Row],[P.U.]]</f>
        <v>113.36000000000001</v>
      </c>
      <c r="J1767" s="184"/>
    </row>
    <row r="1768" spans="1:10" ht="19.350000000000001" customHeight="1">
      <c r="A1768" s="102"/>
      <c r="B1768" s="102" t="s">
        <v>814</v>
      </c>
      <c r="C1768" s="116" t="s">
        <v>841</v>
      </c>
      <c r="D1768" s="114" t="s">
        <v>842</v>
      </c>
      <c r="E1768" s="113" t="s">
        <v>341</v>
      </c>
      <c r="F1768" s="107"/>
      <c r="G1768" s="10">
        <v>4</v>
      </c>
      <c r="H1768" s="103">
        <v>4.3600000000000003</v>
      </c>
      <c r="I1768" s="108">
        <f>Tableau3[[#This Row],[Stock final]]*Tableau3[[#This Row],[P.U.]]</f>
        <v>17.440000000000001</v>
      </c>
      <c r="J1768" s="184"/>
    </row>
    <row r="1769" spans="1:10" ht="19.350000000000001" customHeight="1">
      <c r="A1769" s="102"/>
      <c r="B1769" s="102" t="s">
        <v>814</v>
      </c>
      <c r="C1769" s="116" t="s">
        <v>843</v>
      </c>
      <c r="D1769" s="114" t="s">
        <v>844</v>
      </c>
      <c r="E1769" s="113" t="s">
        <v>341</v>
      </c>
      <c r="F1769" s="107"/>
      <c r="G1769" s="10"/>
      <c r="H1769" s="103">
        <v>2.78</v>
      </c>
      <c r="I1769" s="108">
        <f>Tableau3[[#This Row],[Stock final]]*Tableau3[[#This Row],[P.U.]]</f>
        <v>0</v>
      </c>
      <c r="J1769" s="184"/>
    </row>
    <row r="1770" spans="1:10" ht="19.350000000000001" customHeight="1">
      <c r="A1770" s="102"/>
      <c r="B1770" s="102" t="s">
        <v>814</v>
      </c>
      <c r="C1770" s="116" t="s">
        <v>845</v>
      </c>
      <c r="D1770" s="114" t="s">
        <v>846</v>
      </c>
      <c r="E1770" s="113" t="s">
        <v>341</v>
      </c>
      <c r="F1770" s="107"/>
      <c r="G1770" s="10">
        <v>5</v>
      </c>
      <c r="H1770" s="103">
        <v>5.73</v>
      </c>
      <c r="I1770" s="108">
        <f>Tableau3[[#This Row],[Stock final]]*Tableau3[[#This Row],[P.U.]]</f>
        <v>28.650000000000002</v>
      </c>
      <c r="J1770" s="184"/>
    </row>
    <row r="1771" spans="1:10" ht="19.350000000000001" customHeight="1">
      <c r="A1771" s="102"/>
      <c r="B1771" s="102" t="s">
        <v>814</v>
      </c>
      <c r="C1771" s="116" t="s">
        <v>847</v>
      </c>
      <c r="D1771" s="114" t="s">
        <v>848</v>
      </c>
      <c r="E1771" s="113" t="s">
        <v>341</v>
      </c>
      <c r="F1771" s="107"/>
      <c r="G1771" s="10">
        <v>10</v>
      </c>
      <c r="H1771" s="103">
        <v>8.16</v>
      </c>
      <c r="I1771" s="108">
        <f>Tableau3[[#This Row],[Stock final]]*Tableau3[[#This Row],[P.U.]]</f>
        <v>81.599999999999994</v>
      </c>
      <c r="J1771" s="184"/>
    </row>
    <row r="1772" spans="1:10" ht="19.350000000000001" customHeight="1">
      <c r="A1772" s="102"/>
      <c r="B1772" s="102" t="s">
        <v>814</v>
      </c>
      <c r="C1772" s="116" t="s">
        <v>1413</v>
      </c>
      <c r="D1772" s="11" t="s">
        <v>1414</v>
      </c>
      <c r="E1772" s="113" t="s">
        <v>413</v>
      </c>
      <c r="F1772" s="107"/>
      <c r="G1772" s="10">
        <v>8</v>
      </c>
      <c r="H1772" s="103">
        <v>17.22</v>
      </c>
      <c r="I1772" s="108">
        <f>Tableau3[[#This Row],[Stock final]]*Tableau3[[#This Row],[P.U.]]</f>
        <v>137.76</v>
      </c>
      <c r="J1772" s="184"/>
    </row>
    <row r="1773" spans="1:10" ht="19.350000000000001" customHeight="1">
      <c r="A1773" s="102"/>
      <c r="B1773" s="102"/>
      <c r="C1773" s="116"/>
      <c r="F1773" s="107"/>
      <c r="G1773" s="10"/>
      <c r="H1773" s="103"/>
      <c r="I1773" s="108">
        <f>Tableau3[[#This Row],[Stock final]]*Tableau3[[#This Row],[P.U.]]</f>
        <v>0</v>
      </c>
      <c r="J1773" s="184"/>
    </row>
    <row r="1774" spans="1:10" ht="19.350000000000001" customHeight="1">
      <c r="A1774" s="102"/>
      <c r="B1774" s="102"/>
      <c r="C1774" s="116"/>
      <c r="F1774" s="107"/>
      <c r="G1774" s="10"/>
      <c r="H1774" s="103"/>
      <c r="I1774" s="108">
        <f>Tableau3[[#This Row],[Stock final]]*Tableau3[[#This Row],[P.U.]]</f>
        <v>0</v>
      </c>
      <c r="J1774" s="184"/>
    </row>
    <row r="1775" spans="1:10" ht="19.350000000000001" customHeight="1">
      <c r="A1775" s="102"/>
      <c r="B1775" s="102"/>
      <c r="C1775" s="116"/>
      <c r="F1775" s="107"/>
      <c r="G1775" s="10"/>
      <c r="H1775" s="103"/>
      <c r="I1775" s="108">
        <f>Tableau3[[#This Row],[Stock final]]*Tableau3[[#This Row],[P.U.]]</f>
        <v>0</v>
      </c>
      <c r="J1775" s="184"/>
    </row>
    <row r="1776" spans="1:10" ht="19.350000000000001" customHeight="1">
      <c r="A1776" s="102"/>
      <c r="B1776" s="102"/>
      <c r="C1776" s="116"/>
      <c r="F1776" s="107"/>
      <c r="G1776" s="10"/>
      <c r="H1776" s="103"/>
      <c r="I1776" s="108">
        <f>Tableau3[[#This Row],[Stock final]]*Tableau3[[#This Row],[P.U.]]</f>
        <v>0</v>
      </c>
      <c r="J1776" s="184"/>
    </row>
    <row r="1777" spans="1:10" ht="19.350000000000001" customHeight="1">
      <c r="A1777" s="102"/>
      <c r="B1777" s="102"/>
      <c r="C1777" s="116"/>
      <c r="F1777" s="107"/>
      <c r="G1777" s="10"/>
      <c r="H1777" s="103"/>
      <c r="I1777" s="108">
        <f>Tableau3[[#This Row],[Stock final]]*Tableau3[[#This Row],[P.U.]]</f>
        <v>0</v>
      </c>
      <c r="J1777" s="184"/>
    </row>
    <row r="1778" spans="1:10" ht="19.350000000000001" customHeight="1">
      <c r="A1778" s="102"/>
      <c r="B1778" s="102"/>
      <c r="C1778" s="116"/>
      <c r="F1778" s="107"/>
      <c r="G1778" s="10"/>
      <c r="H1778" s="103"/>
      <c r="I1778" s="108">
        <f>Tableau3[[#This Row],[Stock final]]*Tableau3[[#This Row],[P.U.]]</f>
        <v>0</v>
      </c>
      <c r="J1778" s="184"/>
    </row>
    <row r="1779" spans="1:10" ht="19.350000000000001" customHeight="1">
      <c r="A1779" s="102"/>
      <c r="B1779" s="102"/>
      <c r="C1779" s="116"/>
      <c r="F1779" s="107"/>
      <c r="G1779" s="10"/>
      <c r="H1779" s="103"/>
      <c r="I1779" s="108">
        <f>Tableau3[[#This Row],[Stock final]]*Tableau3[[#This Row],[P.U.]]</f>
        <v>0</v>
      </c>
      <c r="J1779" s="184"/>
    </row>
    <row r="1780" spans="1:10" ht="19.350000000000001" customHeight="1">
      <c r="A1780" s="102"/>
      <c r="B1780" s="102"/>
      <c r="C1780" s="116"/>
      <c r="F1780" s="107"/>
      <c r="G1780" s="10"/>
      <c r="H1780" s="103"/>
      <c r="I1780" s="108">
        <f>Tableau3[[#This Row],[Stock final]]*Tableau3[[#This Row],[P.U.]]</f>
        <v>0</v>
      </c>
      <c r="J1780" s="184"/>
    </row>
    <row r="1781" spans="1:10" ht="19.350000000000001" customHeight="1">
      <c r="A1781" s="102"/>
      <c r="B1781" s="102"/>
      <c r="C1781" s="116"/>
      <c r="F1781" s="107"/>
      <c r="G1781" s="10"/>
      <c r="H1781" s="103"/>
      <c r="I1781" s="108">
        <f>Tableau3[[#This Row],[Stock final]]*Tableau3[[#This Row],[P.U.]]</f>
        <v>0</v>
      </c>
      <c r="J1781" s="184"/>
    </row>
    <row r="1782" spans="1:10" ht="19.350000000000001" customHeight="1">
      <c r="A1782" s="102"/>
      <c r="B1782" s="102"/>
      <c r="C1782" s="116"/>
      <c r="F1782" s="107"/>
      <c r="G1782" s="10"/>
      <c r="H1782" s="103"/>
      <c r="I1782" s="108">
        <f>Tableau3[[#This Row],[Stock final]]*Tableau3[[#This Row],[P.U.]]</f>
        <v>0</v>
      </c>
      <c r="J1782" s="184"/>
    </row>
    <row r="1783" spans="1:10" ht="19.350000000000001" customHeight="1">
      <c r="A1783" s="102"/>
      <c r="B1783" s="102"/>
      <c r="C1783" s="116"/>
      <c r="F1783" s="107"/>
      <c r="G1783" s="10"/>
      <c r="H1783" s="103"/>
      <c r="I1783" s="108">
        <f>Tableau3[[#This Row],[Stock final]]*Tableau3[[#This Row],[P.U.]]</f>
        <v>0</v>
      </c>
      <c r="J1783" s="184"/>
    </row>
    <row r="1784" spans="1:10" ht="19.350000000000001" customHeight="1">
      <c r="A1784" s="102"/>
      <c r="B1784" s="102"/>
      <c r="C1784" s="116"/>
      <c r="F1784" s="107"/>
      <c r="G1784" s="10"/>
      <c r="H1784" s="103"/>
      <c r="I1784" s="108">
        <f>Tableau3[[#This Row],[Stock final]]*Tableau3[[#This Row],[P.U.]]</f>
        <v>0</v>
      </c>
      <c r="J1784" s="184"/>
    </row>
    <row r="1785" spans="1:10" ht="19.350000000000001" customHeight="1">
      <c r="A1785" s="102"/>
      <c r="B1785" s="102"/>
      <c r="C1785" s="116"/>
      <c r="F1785" s="107"/>
      <c r="G1785" s="10"/>
      <c r="H1785" s="103"/>
      <c r="I1785" s="108">
        <f>Tableau3[[#This Row],[Stock final]]*Tableau3[[#This Row],[P.U.]]</f>
        <v>0</v>
      </c>
      <c r="J1785" s="184"/>
    </row>
    <row r="1786" spans="1:10" ht="19.350000000000001" customHeight="1">
      <c r="A1786" s="102"/>
      <c r="B1786" s="102"/>
      <c r="C1786" s="116"/>
      <c r="F1786" s="107"/>
      <c r="G1786" s="10"/>
      <c r="H1786" s="103"/>
      <c r="I1786" s="108">
        <f>Tableau3[[#This Row],[Stock final]]*Tableau3[[#This Row],[P.U.]]</f>
        <v>0</v>
      </c>
      <c r="J1786" s="184"/>
    </row>
    <row r="1787" spans="1:10" ht="19.350000000000001" customHeight="1">
      <c r="A1787" s="102"/>
      <c r="B1787" s="102"/>
      <c r="C1787" s="116"/>
      <c r="F1787" s="107"/>
      <c r="G1787" s="10"/>
      <c r="H1787" s="103"/>
      <c r="I1787" s="108">
        <f>Tableau3[[#This Row],[Stock final]]*Tableau3[[#This Row],[P.U.]]</f>
        <v>0</v>
      </c>
      <c r="J1787" s="184"/>
    </row>
    <row r="1788" spans="1:10" ht="19.350000000000001" customHeight="1">
      <c r="A1788" s="102"/>
      <c r="B1788" s="102"/>
      <c r="C1788" s="116"/>
      <c r="F1788" s="107"/>
      <c r="G1788" s="10"/>
      <c r="H1788" s="103"/>
      <c r="I1788" s="108">
        <f>Tableau3[[#This Row],[Stock final]]*Tableau3[[#This Row],[P.U.]]</f>
        <v>0</v>
      </c>
      <c r="J1788" s="184"/>
    </row>
    <row r="1789" spans="1:10" ht="19.350000000000001" customHeight="1">
      <c r="A1789" s="102"/>
      <c r="B1789" s="102"/>
      <c r="C1789" s="116"/>
      <c r="F1789" s="107"/>
      <c r="G1789" s="10"/>
      <c r="H1789" s="103"/>
      <c r="I1789" s="108">
        <f>Tableau3[[#This Row],[Stock final]]*Tableau3[[#This Row],[P.U.]]</f>
        <v>0</v>
      </c>
      <c r="J1789" s="184"/>
    </row>
    <row r="1790" spans="1:10" ht="19.350000000000001" customHeight="1">
      <c r="A1790" s="102"/>
      <c r="B1790" s="102"/>
      <c r="C1790" s="116"/>
      <c r="F1790" s="107"/>
      <c r="G1790" s="10"/>
      <c r="H1790" s="103"/>
      <c r="I1790" s="108">
        <f>Tableau3[[#This Row],[Stock final]]*Tableau3[[#This Row],[P.U.]]</f>
        <v>0</v>
      </c>
      <c r="J1790" s="184"/>
    </row>
    <row r="1791" spans="1:10" ht="19.350000000000001" customHeight="1">
      <c r="A1791" s="102"/>
      <c r="B1791" s="102"/>
      <c r="C1791" s="116"/>
      <c r="F1791" s="107"/>
      <c r="G1791" s="10"/>
      <c r="H1791" s="103"/>
      <c r="I1791" s="108">
        <f>Tableau3[[#This Row],[Stock final]]*Tableau3[[#This Row],[P.U.]]</f>
        <v>0</v>
      </c>
      <c r="J1791" s="184"/>
    </row>
    <row r="1792" spans="1:10" ht="19.350000000000001" customHeight="1">
      <c r="A1792" s="102"/>
      <c r="B1792" s="102"/>
      <c r="C1792" s="116"/>
      <c r="F1792" s="107"/>
      <c r="G1792" s="10"/>
      <c r="H1792" s="103"/>
      <c r="I1792" s="108">
        <f>Tableau3[[#This Row],[Stock final]]*Tableau3[[#This Row],[P.U.]]</f>
        <v>0</v>
      </c>
      <c r="J1792" s="184"/>
    </row>
    <row r="1793" spans="1:10" ht="19.350000000000001" customHeight="1">
      <c r="A1793" s="102"/>
      <c r="B1793" s="102"/>
      <c r="C1793" s="116"/>
      <c r="F1793" s="107"/>
      <c r="G1793" s="10"/>
      <c r="H1793" s="103"/>
      <c r="I1793" s="108">
        <f>Tableau3[[#This Row],[Stock final]]*Tableau3[[#This Row],[P.U.]]</f>
        <v>0</v>
      </c>
      <c r="J1793" s="184"/>
    </row>
    <row r="1794" spans="1:10" ht="19.350000000000001" customHeight="1">
      <c r="A1794" s="102"/>
      <c r="B1794" s="102"/>
      <c r="C1794" s="116"/>
      <c r="F1794" s="107"/>
      <c r="G1794" s="10"/>
      <c r="H1794" s="103"/>
      <c r="I1794" s="108">
        <f>Tableau3[[#This Row],[Stock final]]*Tableau3[[#This Row],[P.U.]]</f>
        <v>0</v>
      </c>
      <c r="J1794" s="184"/>
    </row>
    <row r="1795" spans="1:10" ht="19.350000000000001" customHeight="1">
      <c r="A1795" s="102"/>
      <c r="B1795" s="102"/>
      <c r="C1795" s="116"/>
      <c r="F1795" s="107"/>
      <c r="G1795" s="10"/>
      <c r="H1795" s="103"/>
      <c r="I1795" s="108">
        <f>Tableau3[[#This Row],[Stock final]]*Tableau3[[#This Row],[P.U.]]</f>
        <v>0</v>
      </c>
      <c r="J1795" s="184"/>
    </row>
    <row r="1796" spans="1:10" ht="19.350000000000001" customHeight="1">
      <c r="A1796" s="102"/>
      <c r="B1796" s="102"/>
      <c r="C1796" s="116"/>
      <c r="F1796" s="107"/>
      <c r="G1796" s="10"/>
      <c r="H1796" s="103"/>
      <c r="I1796" s="108">
        <f>Tableau3[[#This Row],[Stock final]]*Tableau3[[#This Row],[P.U.]]</f>
        <v>0</v>
      </c>
      <c r="J1796" s="184"/>
    </row>
    <row r="1797" spans="1:10" ht="19.350000000000001" customHeight="1">
      <c r="A1797" s="102"/>
      <c r="B1797" s="102"/>
      <c r="C1797" s="116"/>
      <c r="F1797" s="107"/>
      <c r="G1797" s="10"/>
      <c r="H1797" s="103"/>
      <c r="I1797" s="108">
        <f>Tableau3[[#This Row],[Stock final]]*Tableau3[[#This Row],[P.U.]]</f>
        <v>0</v>
      </c>
      <c r="J1797" s="184"/>
    </row>
    <row r="1798" spans="1:10" ht="19.350000000000001" customHeight="1">
      <c r="A1798" s="102"/>
      <c r="B1798" s="102"/>
      <c r="C1798" s="116"/>
      <c r="F1798" s="107"/>
      <c r="G1798" s="10"/>
      <c r="H1798" s="103"/>
      <c r="I1798" s="108">
        <f>Tableau3[[#This Row],[Stock final]]*Tableau3[[#This Row],[P.U.]]</f>
        <v>0</v>
      </c>
      <c r="J1798" s="184"/>
    </row>
    <row r="1799" spans="1:10" ht="19.350000000000001" customHeight="1">
      <c r="A1799" s="102"/>
      <c r="B1799" s="102"/>
      <c r="C1799" s="116"/>
      <c r="F1799" s="107"/>
      <c r="G1799" s="10"/>
      <c r="H1799" s="103"/>
      <c r="I1799" s="108">
        <f>Tableau3[[#This Row],[Stock final]]*Tableau3[[#This Row],[P.U.]]</f>
        <v>0</v>
      </c>
      <c r="J1799" s="184"/>
    </row>
    <row r="1800" spans="1:10" ht="19.350000000000001" customHeight="1">
      <c r="A1800" s="102"/>
      <c r="B1800" s="102"/>
      <c r="C1800" s="116"/>
      <c r="F1800" s="107"/>
      <c r="G1800" s="10"/>
      <c r="H1800" s="103"/>
      <c r="I1800" s="108">
        <f>Tableau3[[#This Row],[Stock final]]*Tableau3[[#This Row],[P.U.]]</f>
        <v>0</v>
      </c>
      <c r="J1800" s="184"/>
    </row>
    <row r="1801" spans="1:10" ht="19.350000000000001" customHeight="1">
      <c r="A1801" s="102"/>
      <c r="B1801" s="102"/>
      <c r="C1801" s="116"/>
      <c r="F1801" s="107"/>
      <c r="G1801" s="10"/>
      <c r="H1801" s="103"/>
      <c r="I1801" s="108">
        <f>Tableau3[[#This Row],[Stock final]]*Tableau3[[#This Row],[P.U.]]</f>
        <v>0</v>
      </c>
      <c r="J1801" s="184"/>
    </row>
    <row r="1802" spans="1:10" ht="19.350000000000001" customHeight="1">
      <c r="A1802" s="102"/>
      <c r="B1802" s="102"/>
      <c r="C1802" s="116"/>
      <c r="F1802" s="107"/>
      <c r="G1802" s="10"/>
      <c r="H1802" s="103"/>
      <c r="I1802" s="108">
        <f>Tableau3[[#This Row],[Stock final]]*Tableau3[[#This Row],[P.U.]]</f>
        <v>0</v>
      </c>
      <c r="J1802" s="184"/>
    </row>
    <row r="1803" spans="1:10" ht="19.350000000000001" customHeight="1">
      <c r="A1803" s="102"/>
      <c r="B1803" s="102"/>
      <c r="C1803" s="116"/>
      <c r="F1803" s="107"/>
      <c r="G1803" s="10"/>
      <c r="H1803" s="103"/>
      <c r="I1803" s="108">
        <f>Tableau3[[#This Row],[Stock final]]*Tableau3[[#This Row],[P.U.]]</f>
        <v>0</v>
      </c>
      <c r="J1803" s="184"/>
    </row>
    <row r="1804" spans="1:10" ht="19.350000000000001" customHeight="1">
      <c r="A1804" s="102"/>
      <c r="B1804" s="102"/>
      <c r="C1804" s="116"/>
      <c r="F1804" s="107"/>
      <c r="G1804" s="10"/>
      <c r="H1804" s="103"/>
      <c r="I1804" s="108">
        <f>Tableau3[[#This Row],[Stock final]]*Tableau3[[#This Row],[P.U.]]</f>
        <v>0</v>
      </c>
      <c r="J1804" s="184"/>
    </row>
    <row r="1805" spans="1:10" ht="19.350000000000001" customHeight="1">
      <c r="A1805" s="102"/>
      <c r="B1805" s="102"/>
      <c r="C1805" s="116"/>
      <c r="F1805" s="107"/>
      <c r="G1805" s="10"/>
      <c r="H1805" s="103"/>
      <c r="I1805" s="108">
        <f>Tableau3[[#This Row],[Stock final]]*Tableau3[[#This Row],[P.U.]]</f>
        <v>0</v>
      </c>
      <c r="J1805" s="184"/>
    </row>
    <row r="1806" spans="1:10" ht="19.350000000000001" customHeight="1">
      <c r="A1806" s="102"/>
      <c r="B1806" s="102"/>
      <c r="C1806" s="116"/>
      <c r="F1806" s="107"/>
      <c r="G1806" s="10"/>
      <c r="H1806" s="103"/>
      <c r="I1806" s="108">
        <f>Tableau3[[#This Row],[Stock final]]*Tableau3[[#This Row],[P.U.]]</f>
        <v>0</v>
      </c>
      <c r="J1806" s="184"/>
    </row>
    <row r="1807" spans="1:10" ht="19.350000000000001" customHeight="1">
      <c r="A1807" s="102"/>
      <c r="B1807" s="102"/>
      <c r="C1807" s="116"/>
      <c r="F1807" s="107"/>
      <c r="G1807" s="10"/>
      <c r="H1807" s="103"/>
      <c r="I1807" s="108">
        <f>Tableau3[[#This Row],[Stock final]]*Tableau3[[#This Row],[P.U.]]</f>
        <v>0</v>
      </c>
      <c r="J1807" s="184"/>
    </row>
    <row r="1808" spans="1:10" ht="19.350000000000001" customHeight="1">
      <c r="A1808" s="102"/>
      <c r="B1808" s="102"/>
      <c r="C1808" s="116"/>
      <c r="F1808" s="107"/>
      <c r="G1808" s="10"/>
      <c r="H1808" s="103"/>
      <c r="I1808" s="108">
        <f>Tableau3[[#This Row],[Stock final]]*Tableau3[[#This Row],[P.U.]]</f>
        <v>0</v>
      </c>
      <c r="J1808" s="184"/>
    </row>
    <row r="1809" spans="1:10" ht="19.350000000000001" customHeight="1">
      <c r="A1809" s="102"/>
      <c r="B1809" s="102"/>
      <c r="C1809" s="116"/>
      <c r="F1809" s="107"/>
      <c r="G1809" s="10"/>
      <c r="H1809" s="103"/>
      <c r="I1809" s="108">
        <f>Tableau3[[#This Row],[Stock final]]*Tableau3[[#This Row],[P.U.]]</f>
        <v>0</v>
      </c>
      <c r="J1809" s="184"/>
    </row>
    <row r="1810" spans="1:10" ht="19.350000000000001" customHeight="1">
      <c r="A1810" s="102"/>
      <c r="B1810" s="102"/>
      <c r="C1810" s="116"/>
      <c r="F1810" s="107"/>
      <c r="G1810" s="10"/>
      <c r="H1810" s="103"/>
      <c r="I1810" s="108">
        <f>Tableau3[[#This Row],[Stock final]]*Tableau3[[#This Row],[P.U.]]</f>
        <v>0</v>
      </c>
      <c r="J1810" s="184"/>
    </row>
    <row r="1811" spans="1:10" ht="19.350000000000001" customHeight="1">
      <c r="A1811" s="102"/>
      <c r="B1811" s="102"/>
      <c r="C1811" s="116"/>
      <c r="F1811" s="107"/>
      <c r="G1811" s="10"/>
      <c r="H1811" s="103"/>
      <c r="I1811" s="108">
        <f>Tableau3[[#This Row],[Stock final]]*Tableau3[[#This Row],[P.U.]]</f>
        <v>0</v>
      </c>
      <c r="J1811" s="184"/>
    </row>
    <row r="1812" spans="1:10" ht="19.350000000000001" customHeight="1">
      <c r="A1812" s="102"/>
      <c r="B1812" s="102"/>
      <c r="C1812" s="116"/>
      <c r="F1812" s="107"/>
      <c r="G1812" s="10"/>
      <c r="H1812" s="103"/>
      <c r="I1812" s="108">
        <f>Tableau3[[#This Row],[Stock final]]*Tableau3[[#This Row],[P.U.]]</f>
        <v>0</v>
      </c>
      <c r="J1812" s="184"/>
    </row>
    <row r="1813" spans="1:10" ht="19.350000000000001" customHeight="1">
      <c r="A1813" s="102"/>
      <c r="B1813" s="102"/>
      <c r="C1813" s="116"/>
      <c r="F1813" s="107"/>
      <c r="G1813" s="10"/>
      <c r="H1813" s="103"/>
      <c r="I1813" s="108">
        <f>Tableau3[[#This Row],[Stock final]]*Tableau3[[#This Row],[P.U.]]</f>
        <v>0</v>
      </c>
      <c r="J1813" s="184"/>
    </row>
    <row r="1814" spans="1:10" ht="19.350000000000001" customHeight="1">
      <c r="A1814" s="102"/>
      <c r="B1814" s="102"/>
      <c r="C1814" s="116"/>
      <c r="F1814" s="107"/>
      <c r="G1814" s="10"/>
      <c r="H1814" s="103"/>
      <c r="I1814" s="108">
        <f>Tableau3[[#This Row],[Stock final]]*Tableau3[[#This Row],[P.U.]]</f>
        <v>0</v>
      </c>
      <c r="J1814" s="184"/>
    </row>
    <row r="1815" spans="1:10" ht="19.350000000000001" customHeight="1">
      <c r="A1815" s="102"/>
      <c r="B1815" s="102"/>
      <c r="C1815" s="116"/>
      <c r="F1815" s="107"/>
      <c r="G1815" s="10"/>
      <c r="H1815" s="103"/>
      <c r="I1815" s="108">
        <f>Tableau3[[#This Row],[Stock final]]*Tableau3[[#This Row],[P.U.]]</f>
        <v>0</v>
      </c>
      <c r="J1815" s="184"/>
    </row>
    <row r="1816" spans="1:10" ht="19.350000000000001" customHeight="1">
      <c r="A1816" s="102"/>
      <c r="B1816" s="102"/>
      <c r="C1816" s="116"/>
      <c r="F1816" s="107"/>
      <c r="G1816" s="10"/>
      <c r="H1816" s="103"/>
      <c r="I1816" s="108">
        <f>Tableau3[[#This Row],[Stock final]]*Tableau3[[#This Row],[P.U.]]</f>
        <v>0</v>
      </c>
      <c r="J1816" s="184"/>
    </row>
    <row r="1817" spans="1:10" ht="19.350000000000001" customHeight="1">
      <c r="A1817" s="102"/>
      <c r="B1817" s="102"/>
      <c r="C1817" s="116"/>
      <c r="F1817" s="107"/>
      <c r="G1817" s="10"/>
      <c r="H1817" s="103"/>
      <c r="I1817" s="108">
        <f>Tableau3[[#This Row],[Stock final]]*Tableau3[[#This Row],[P.U.]]</f>
        <v>0</v>
      </c>
      <c r="J1817" s="184"/>
    </row>
    <row r="1818" spans="1:10" ht="19.350000000000001" customHeight="1">
      <c r="A1818" s="102"/>
      <c r="B1818" s="102"/>
      <c r="C1818" s="116"/>
      <c r="F1818" s="107"/>
      <c r="G1818" s="10"/>
      <c r="H1818" s="103"/>
      <c r="I1818" s="108">
        <f>Tableau3[[#This Row],[Stock final]]*Tableau3[[#This Row],[P.U.]]</f>
        <v>0</v>
      </c>
      <c r="J1818" s="184"/>
    </row>
    <row r="1819" spans="1:10" ht="19.350000000000001" customHeight="1">
      <c r="A1819" s="102"/>
      <c r="B1819" s="102"/>
      <c r="C1819" s="116"/>
      <c r="F1819" s="107"/>
      <c r="G1819" s="10"/>
      <c r="H1819" s="103"/>
      <c r="I1819" s="108">
        <f>Tableau3[[#This Row],[Stock final]]*Tableau3[[#This Row],[P.U.]]</f>
        <v>0</v>
      </c>
      <c r="J1819" s="184"/>
    </row>
    <row r="1820" spans="1:10" ht="19.350000000000001" customHeight="1">
      <c r="A1820" s="102"/>
      <c r="B1820" s="102"/>
      <c r="C1820" s="116"/>
      <c r="F1820" s="107"/>
      <c r="G1820" s="10"/>
      <c r="H1820" s="103"/>
      <c r="I1820" s="108">
        <f>Tableau3[[#This Row],[Stock final]]*Tableau3[[#This Row],[P.U.]]</f>
        <v>0</v>
      </c>
      <c r="J1820" s="184"/>
    </row>
    <row r="1821" spans="1:10" ht="19.350000000000001" customHeight="1">
      <c r="A1821" s="102"/>
      <c r="B1821" s="102"/>
      <c r="C1821" s="116"/>
      <c r="F1821" s="107"/>
      <c r="G1821" s="10"/>
      <c r="H1821" s="103"/>
      <c r="I1821" s="108">
        <f>Tableau3[[#This Row],[Stock final]]*Tableau3[[#This Row],[P.U.]]</f>
        <v>0</v>
      </c>
      <c r="J1821" s="184"/>
    </row>
    <row r="1822" spans="1:10" ht="19.350000000000001" customHeight="1">
      <c r="A1822" s="102"/>
      <c r="B1822" s="102"/>
      <c r="C1822" s="116"/>
      <c r="F1822" s="107"/>
      <c r="G1822" s="10"/>
      <c r="H1822" s="103"/>
      <c r="I1822" s="108">
        <f>Tableau3[[#This Row],[Stock final]]*Tableau3[[#This Row],[P.U.]]</f>
        <v>0</v>
      </c>
      <c r="J1822" s="184"/>
    </row>
    <row r="1823" spans="1:10" ht="19.350000000000001" customHeight="1">
      <c r="A1823" s="102"/>
      <c r="B1823" s="102"/>
      <c r="C1823" s="116"/>
      <c r="F1823" s="107"/>
      <c r="G1823" s="10"/>
      <c r="H1823" s="103"/>
      <c r="I1823" s="108">
        <f>Tableau3[[#This Row],[Stock final]]*Tableau3[[#This Row],[P.U.]]</f>
        <v>0</v>
      </c>
      <c r="J1823" s="184"/>
    </row>
    <row r="1824" spans="1:10" ht="19.350000000000001" customHeight="1">
      <c r="A1824" s="102"/>
      <c r="B1824" s="102"/>
      <c r="C1824" s="116"/>
      <c r="F1824" s="107"/>
      <c r="G1824" s="10"/>
      <c r="H1824" s="103"/>
      <c r="I1824" s="108">
        <f>Tableau3[[#This Row],[Stock final]]*Tableau3[[#This Row],[P.U.]]</f>
        <v>0</v>
      </c>
      <c r="J1824" s="184"/>
    </row>
    <row r="1825" spans="1:10" ht="19.350000000000001" customHeight="1">
      <c r="A1825" s="102"/>
      <c r="B1825" s="102" t="s">
        <v>766</v>
      </c>
      <c r="C1825" s="116" t="s">
        <v>769</v>
      </c>
      <c r="D1825" s="11" t="s">
        <v>1415</v>
      </c>
      <c r="F1825" s="107"/>
      <c r="G1825" s="10">
        <v>11</v>
      </c>
      <c r="H1825" s="103"/>
      <c r="I1825" s="108">
        <f>Tableau3[[#This Row],[Stock final]]*Tableau3[[#This Row],[P.U.]]</f>
        <v>0</v>
      </c>
      <c r="J1825" s="184"/>
    </row>
    <row r="1826" spans="1:10" ht="19.350000000000001" customHeight="1">
      <c r="A1826" s="102"/>
      <c r="B1826" s="102" t="s">
        <v>766</v>
      </c>
      <c r="C1826" s="116" t="s">
        <v>1416</v>
      </c>
      <c r="D1826" s="11" t="s">
        <v>1417</v>
      </c>
      <c r="F1826" s="107"/>
      <c r="G1826" s="10">
        <v>9</v>
      </c>
      <c r="H1826" s="103"/>
      <c r="I1826" s="108">
        <f>Tableau3[[#This Row],[Stock final]]*Tableau3[[#This Row],[P.U.]]</f>
        <v>0</v>
      </c>
      <c r="J1826" s="184"/>
    </row>
    <row r="1827" spans="1:10" ht="19.350000000000001" customHeight="1">
      <c r="A1827" s="102"/>
      <c r="B1827" s="109" t="s">
        <v>766</v>
      </c>
      <c r="C1827" s="116" t="s">
        <v>767</v>
      </c>
      <c r="D1827" s="114" t="s">
        <v>768</v>
      </c>
      <c r="F1827" s="107"/>
      <c r="G1827" s="10">
        <v>70</v>
      </c>
      <c r="H1827" s="103">
        <v>3.22</v>
      </c>
      <c r="I1827" s="108">
        <f>Tableau3[[#This Row],[Stock final]]*Tableau3[[#This Row],[P.U.]]</f>
        <v>225.4</v>
      </c>
      <c r="J1827" s="184"/>
    </row>
    <row r="1828" spans="1:10" ht="19.350000000000001" customHeight="1">
      <c r="A1828" s="102"/>
      <c r="B1828" s="102" t="s">
        <v>766</v>
      </c>
      <c r="C1828" s="116" t="s">
        <v>769</v>
      </c>
      <c r="D1828" s="114" t="s">
        <v>770</v>
      </c>
      <c r="F1828" s="107"/>
      <c r="G1828" s="10"/>
      <c r="H1828" s="103">
        <v>6.98</v>
      </c>
      <c r="I1828" s="108">
        <f>Tableau3[[#This Row],[Stock final]]*Tableau3[[#This Row],[P.U.]]</f>
        <v>0</v>
      </c>
      <c r="J1828" s="184"/>
    </row>
    <row r="1829" spans="1:10" ht="19.350000000000001" customHeight="1">
      <c r="A1829" s="102"/>
      <c r="B1829" s="102" t="s">
        <v>766</v>
      </c>
      <c r="C1829" s="116" t="s">
        <v>771</v>
      </c>
      <c r="D1829" s="114" t="s">
        <v>772</v>
      </c>
      <c r="F1829" s="107"/>
      <c r="G1829" s="10">
        <v>20</v>
      </c>
      <c r="H1829" s="103">
        <v>6.76</v>
      </c>
      <c r="I1829" s="108">
        <f>Tableau3[[#This Row],[Stock final]]*Tableau3[[#This Row],[P.U.]]</f>
        <v>135.19999999999999</v>
      </c>
      <c r="J1829" s="184"/>
    </row>
    <row r="1830" spans="1:10" ht="19.350000000000001" customHeight="1">
      <c r="A1830" s="102"/>
      <c r="B1830" s="102" t="s">
        <v>766</v>
      </c>
      <c r="C1830" s="116" t="s">
        <v>773</v>
      </c>
      <c r="D1830" s="114" t="s">
        <v>774</v>
      </c>
      <c r="F1830" s="107"/>
      <c r="G1830" s="10">
        <v>22</v>
      </c>
      <c r="H1830" s="103">
        <v>3.52</v>
      </c>
      <c r="I1830" s="108">
        <f>Tableau3[[#This Row],[Stock final]]*Tableau3[[#This Row],[P.U.]]</f>
        <v>77.44</v>
      </c>
      <c r="J1830" s="184"/>
    </row>
    <row r="1831" spans="1:10" ht="19.350000000000001" customHeight="1">
      <c r="A1831" s="102"/>
      <c r="B1831" s="102" t="s">
        <v>766</v>
      </c>
      <c r="C1831" s="116" t="s">
        <v>775</v>
      </c>
      <c r="D1831" s="114" t="s">
        <v>776</v>
      </c>
      <c r="F1831" s="107"/>
      <c r="G1831" s="10"/>
      <c r="H1831" s="103">
        <v>3.07</v>
      </c>
      <c r="I1831" s="108">
        <f>Tableau3[[#This Row],[Stock final]]*Tableau3[[#This Row],[P.U.]]</f>
        <v>0</v>
      </c>
      <c r="J1831" s="184"/>
    </row>
    <row r="1832" spans="1:10" ht="19.350000000000001" customHeight="1">
      <c r="A1832" s="102"/>
      <c r="B1832" s="102" t="s">
        <v>766</v>
      </c>
      <c r="C1832" s="116" t="s">
        <v>777</v>
      </c>
      <c r="D1832" s="114" t="s">
        <v>778</v>
      </c>
      <c r="F1832" s="107"/>
      <c r="G1832" s="10">
        <v>5</v>
      </c>
      <c r="H1832" s="103">
        <v>169.4</v>
      </c>
      <c r="I1832" s="108">
        <f>Tableau3[[#This Row],[Stock final]]*Tableau3[[#This Row],[P.U.]]</f>
        <v>847</v>
      </c>
      <c r="J1832" s="184"/>
    </row>
    <row r="1833" spans="1:10" ht="19.350000000000001" customHeight="1">
      <c r="A1833" s="102"/>
      <c r="B1833" s="102" t="s">
        <v>766</v>
      </c>
      <c r="C1833" s="116" t="s">
        <v>779</v>
      </c>
      <c r="D1833" s="114" t="s">
        <v>780</v>
      </c>
      <c r="F1833" s="107"/>
      <c r="G1833" s="10"/>
      <c r="H1833" s="103">
        <v>8.99</v>
      </c>
      <c r="I1833" s="108">
        <f>Tableau3[[#This Row],[Stock final]]*Tableau3[[#This Row],[P.U.]]</f>
        <v>0</v>
      </c>
      <c r="J1833" s="184"/>
    </row>
    <row r="1834" spans="1:10" ht="19.350000000000001" customHeight="1">
      <c r="A1834" s="102"/>
      <c r="B1834" s="102" t="s">
        <v>766</v>
      </c>
      <c r="C1834" s="116" t="s">
        <v>781</v>
      </c>
      <c r="D1834" s="114" t="s">
        <v>782</v>
      </c>
      <c r="F1834" s="107"/>
      <c r="G1834" s="10"/>
      <c r="H1834" s="103">
        <v>18.059999999999999</v>
      </c>
      <c r="I1834" s="108">
        <f>Tableau3[[#This Row],[Stock final]]*Tableau3[[#This Row],[P.U.]]</f>
        <v>0</v>
      </c>
      <c r="J1834" s="184"/>
    </row>
    <row r="1835" spans="1:10" ht="19.350000000000001" customHeight="1">
      <c r="A1835" s="102"/>
      <c r="B1835" s="102" t="s">
        <v>766</v>
      </c>
      <c r="C1835" s="116" t="s">
        <v>783</v>
      </c>
      <c r="D1835" s="114" t="s">
        <v>784</v>
      </c>
      <c r="E1835" s="113" t="s">
        <v>550</v>
      </c>
      <c r="F1835" s="107"/>
      <c r="G1835" s="10">
        <v>20</v>
      </c>
      <c r="H1835" s="103">
        <v>1.49</v>
      </c>
      <c r="I1835" s="108">
        <f>Tableau3[[#This Row],[Stock final]]*Tableau3[[#This Row],[P.U.]]</f>
        <v>29.8</v>
      </c>
      <c r="J1835" s="184"/>
    </row>
    <row r="1836" spans="1:10" ht="19.350000000000001" customHeight="1">
      <c r="A1836" s="102"/>
      <c r="B1836" s="102" t="s">
        <v>766</v>
      </c>
      <c r="C1836" s="116" t="s">
        <v>785</v>
      </c>
      <c r="D1836" s="114" t="s">
        <v>786</v>
      </c>
      <c r="E1836" s="113" t="s">
        <v>550</v>
      </c>
      <c r="F1836" s="107"/>
      <c r="G1836" s="10">
        <v>41</v>
      </c>
      <c r="H1836" s="103">
        <v>3.69</v>
      </c>
      <c r="I1836" s="108">
        <f>Tableau3[[#This Row],[Stock final]]*Tableau3[[#This Row],[P.U.]]</f>
        <v>151.29</v>
      </c>
      <c r="J1836" s="184"/>
    </row>
    <row r="1837" spans="1:10" ht="19.350000000000001" customHeight="1">
      <c r="A1837" s="102"/>
      <c r="B1837" s="102" t="s">
        <v>766</v>
      </c>
      <c r="C1837" s="116" t="s">
        <v>787</v>
      </c>
      <c r="D1837" s="114" t="s">
        <v>788</v>
      </c>
      <c r="E1837" s="113" t="s">
        <v>550</v>
      </c>
      <c r="F1837" s="107"/>
      <c r="G1837" s="10">
        <v>20</v>
      </c>
      <c r="H1837" s="103">
        <v>2.1800000000000002</v>
      </c>
      <c r="I1837" s="108">
        <f>Tableau3[[#This Row],[Stock final]]*Tableau3[[#This Row],[P.U.]]</f>
        <v>43.6</v>
      </c>
      <c r="J1837" s="184"/>
    </row>
    <row r="1838" spans="1:10" ht="19.350000000000001" customHeight="1">
      <c r="A1838" s="102"/>
      <c r="B1838" s="102" t="s">
        <v>766</v>
      </c>
      <c r="C1838" s="116" t="s">
        <v>789</v>
      </c>
      <c r="D1838" s="114" t="s">
        <v>790</v>
      </c>
      <c r="E1838" s="113" t="s">
        <v>550</v>
      </c>
      <c r="F1838" s="107"/>
      <c r="G1838" s="10">
        <v>40</v>
      </c>
      <c r="H1838" s="103">
        <v>1.29</v>
      </c>
      <c r="I1838" s="108">
        <f>Tableau3[[#This Row],[Stock final]]*Tableau3[[#This Row],[P.U.]]</f>
        <v>51.6</v>
      </c>
      <c r="J1838" s="184"/>
    </row>
    <row r="1839" spans="1:10" ht="19.350000000000001" customHeight="1">
      <c r="A1839" s="102"/>
      <c r="B1839" s="102" t="s">
        <v>766</v>
      </c>
      <c r="C1839" s="116" t="s">
        <v>791</v>
      </c>
      <c r="D1839" s="114" t="s">
        <v>792</v>
      </c>
      <c r="E1839" s="113" t="s">
        <v>550</v>
      </c>
      <c r="F1839" s="107"/>
      <c r="G1839" s="10"/>
      <c r="H1839" s="103">
        <v>2.11</v>
      </c>
      <c r="I1839" s="108">
        <f>Tableau3[[#This Row],[Stock final]]*Tableau3[[#This Row],[P.U.]]</f>
        <v>0</v>
      </c>
      <c r="J1839" s="184"/>
    </row>
    <row r="1840" spans="1:10" ht="19.350000000000001" customHeight="1">
      <c r="A1840" s="102"/>
      <c r="B1840" s="102" t="s">
        <v>766</v>
      </c>
      <c r="C1840" s="116" t="s">
        <v>793</v>
      </c>
      <c r="D1840" s="114" t="s">
        <v>794</v>
      </c>
      <c r="E1840" s="113" t="s">
        <v>795</v>
      </c>
      <c r="F1840" s="107"/>
      <c r="G1840" s="10">
        <v>15</v>
      </c>
      <c r="H1840" s="103">
        <v>1.97</v>
      </c>
      <c r="I1840" s="108">
        <f>Tableau3[[#This Row],[Stock final]]*Tableau3[[#This Row],[P.U.]]</f>
        <v>29.55</v>
      </c>
      <c r="J1840" s="184"/>
    </row>
    <row r="1841" spans="1:10" ht="19.350000000000001" customHeight="1">
      <c r="A1841" s="102"/>
      <c r="B1841" s="102" t="s">
        <v>766</v>
      </c>
      <c r="C1841" s="116" t="s">
        <v>796</v>
      </c>
      <c r="D1841" s="114" t="s">
        <v>797</v>
      </c>
      <c r="E1841" s="113" t="s">
        <v>795</v>
      </c>
      <c r="F1841" s="107"/>
      <c r="G1841" s="10">
        <v>10</v>
      </c>
      <c r="H1841" s="103"/>
      <c r="I1841" s="108">
        <f>Tableau3[[#This Row],[Stock final]]*Tableau3[[#This Row],[P.U.]]</f>
        <v>0</v>
      </c>
      <c r="J1841" s="184"/>
    </row>
    <row r="1842" spans="1:10" ht="19.350000000000001" customHeight="1">
      <c r="A1842" s="102"/>
      <c r="B1842" s="102" t="s">
        <v>766</v>
      </c>
      <c r="C1842" s="116" t="s">
        <v>798</v>
      </c>
      <c r="D1842" s="114" t="s">
        <v>799</v>
      </c>
      <c r="E1842" s="113" t="s">
        <v>795</v>
      </c>
      <c r="F1842" s="107"/>
      <c r="G1842" s="10">
        <v>47</v>
      </c>
      <c r="H1842" s="103">
        <v>1.97</v>
      </c>
      <c r="I1842" s="108">
        <f>Tableau3[[#This Row],[Stock final]]*Tableau3[[#This Row],[P.U.]]</f>
        <v>92.59</v>
      </c>
      <c r="J1842" s="184"/>
    </row>
    <row r="1843" spans="1:10" ht="19.350000000000001" customHeight="1">
      <c r="A1843" s="102"/>
      <c r="B1843" s="102" t="s">
        <v>766</v>
      </c>
      <c r="C1843" s="116" t="s">
        <v>800</v>
      </c>
      <c r="D1843" s="114" t="s">
        <v>801</v>
      </c>
      <c r="E1843" s="113" t="s">
        <v>437</v>
      </c>
      <c r="F1843" s="107"/>
      <c r="G1843" s="10"/>
      <c r="H1843" s="103">
        <v>3.79</v>
      </c>
      <c r="I1843" s="108">
        <f>Tableau3[[#This Row],[Stock final]]*Tableau3[[#This Row],[P.U.]]</f>
        <v>0</v>
      </c>
      <c r="J1843" s="184"/>
    </row>
    <row r="1844" spans="1:10" ht="19.350000000000001" customHeight="1">
      <c r="A1844" s="102"/>
      <c r="B1844" s="102" t="s">
        <v>766</v>
      </c>
      <c r="C1844" s="116" t="s">
        <v>802</v>
      </c>
      <c r="D1844" s="114" t="s">
        <v>803</v>
      </c>
      <c r="E1844" s="113" t="s">
        <v>804</v>
      </c>
      <c r="F1844" s="107"/>
      <c r="G1844" s="10">
        <v>7</v>
      </c>
      <c r="H1844" s="103">
        <v>19.809999999999999</v>
      </c>
      <c r="I1844" s="108">
        <f>Tableau3[[#This Row],[Stock final]]*Tableau3[[#This Row],[P.U.]]</f>
        <v>138.66999999999999</v>
      </c>
      <c r="J1844" s="184"/>
    </row>
    <row r="1845" spans="1:10" ht="19.350000000000001" customHeight="1">
      <c r="A1845" s="102"/>
      <c r="B1845" s="102" t="s">
        <v>766</v>
      </c>
      <c r="C1845" s="116" t="s">
        <v>805</v>
      </c>
      <c r="D1845" s="114" t="s">
        <v>806</v>
      </c>
      <c r="E1845" s="113" t="s">
        <v>807</v>
      </c>
      <c r="F1845" s="107"/>
      <c r="G1845" s="10">
        <v>6</v>
      </c>
      <c r="H1845" s="103">
        <v>8.6300000000000008</v>
      </c>
      <c r="I1845" s="108">
        <f>Tableau3[[#This Row],[Stock final]]*Tableau3[[#This Row],[P.U.]]</f>
        <v>51.78</v>
      </c>
      <c r="J1845" s="184"/>
    </row>
    <row r="1846" spans="1:10" ht="19.350000000000001" customHeight="1">
      <c r="A1846" s="102"/>
      <c r="B1846" s="102" t="s">
        <v>766</v>
      </c>
      <c r="C1846" s="116" t="s">
        <v>808</v>
      </c>
      <c r="D1846" s="114" t="s">
        <v>809</v>
      </c>
      <c r="E1846" s="113" t="s">
        <v>804</v>
      </c>
      <c r="F1846" s="107"/>
      <c r="G1846" s="10">
        <v>10</v>
      </c>
      <c r="H1846" s="103">
        <v>3.38</v>
      </c>
      <c r="I1846" s="108">
        <f>Tableau3[[#This Row],[Stock final]]*Tableau3[[#This Row],[P.U.]]</f>
        <v>33.799999999999997</v>
      </c>
      <c r="J1846" s="184"/>
    </row>
    <row r="1847" spans="1:10" ht="19.350000000000001" customHeight="1">
      <c r="A1847" s="102"/>
      <c r="B1847" s="102" t="s">
        <v>766</v>
      </c>
      <c r="C1847" s="116" t="s">
        <v>810</v>
      </c>
      <c r="D1847" s="114" t="s">
        <v>811</v>
      </c>
      <c r="E1847" s="113" t="s">
        <v>804</v>
      </c>
      <c r="F1847" s="107"/>
      <c r="G1847" s="10">
        <v>10</v>
      </c>
      <c r="H1847" s="103">
        <v>3.69</v>
      </c>
      <c r="I1847" s="108">
        <f>Tableau3[[#This Row],[Stock final]]*Tableau3[[#This Row],[P.U.]]</f>
        <v>36.9</v>
      </c>
      <c r="J1847" s="184"/>
    </row>
    <row r="1848" spans="1:10" ht="19.350000000000001" customHeight="1">
      <c r="A1848" s="102"/>
      <c r="B1848" s="102" t="s">
        <v>766</v>
      </c>
      <c r="C1848" s="116" t="s">
        <v>812</v>
      </c>
      <c r="D1848" s="114" t="s">
        <v>813</v>
      </c>
      <c r="E1848" s="113" t="s">
        <v>804</v>
      </c>
      <c r="F1848" s="107"/>
      <c r="G1848" s="10"/>
      <c r="H1848" s="103">
        <v>6.19</v>
      </c>
      <c r="I1848" s="108">
        <f>Tableau3[[#This Row],[Stock final]]*Tableau3[[#This Row],[P.U.]]</f>
        <v>0</v>
      </c>
      <c r="J1848" s="184"/>
    </row>
    <row r="1849" spans="1:10" ht="19.350000000000001" customHeight="1">
      <c r="A1849" s="102"/>
      <c r="B1849" s="102" t="s">
        <v>766</v>
      </c>
      <c r="C1849" s="116" t="s">
        <v>1418</v>
      </c>
      <c r="D1849" s="11" t="s">
        <v>1419</v>
      </c>
      <c r="E1849" s="113" t="s">
        <v>1420</v>
      </c>
      <c r="F1849" s="107"/>
      <c r="G1849" s="10">
        <v>9</v>
      </c>
      <c r="H1849" s="103">
        <v>3.4</v>
      </c>
      <c r="I1849" s="108">
        <f>Tableau3[[#This Row],[Stock final]]*Tableau3[[#This Row],[P.U.]]</f>
        <v>30.599999999999998</v>
      </c>
      <c r="J1849" s="184"/>
    </row>
    <row r="1850" spans="1:10" ht="19.350000000000001" customHeight="1">
      <c r="A1850" s="102"/>
      <c r="B1850" s="102" t="s">
        <v>766</v>
      </c>
      <c r="C1850" s="116" t="s">
        <v>1421</v>
      </c>
      <c r="D1850" s="11" t="s">
        <v>1422</v>
      </c>
      <c r="E1850" s="113" t="s">
        <v>1420</v>
      </c>
      <c r="F1850" s="107"/>
      <c r="G1850" s="10">
        <v>2</v>
      </c>
      <c r="H1850" s="103">
        <v>6.82</v>
      </c>
      <c r="I1850" s="108">
        <f>Tableau3[[#This Row],[Stock final]]*Tableau3[[#This Row],[P.U.]]</f>
        <v>13.64</v>
      </c>
      <c r="J1850" s="184"/>
    </row>
    <row r="1851" spans="1:10" ht="19.350000000000001" customHeight="1">
      <c r="A1851" s="102"/>
      <c r="B1851" s="102" t="s">
        <v>766</v>
      </c>
      <c r="C1851" s="116" t="s">
        <v>1423</v>
      </c>
      <c r="D1851" s="11" t="s">
        <v>1424</v>
      </c>
      <c r="E1851" s="113" t="s">
        <v>1425</v>
      </c>
      <c r="F1851" s="107"/>
      <c r="G1851" s="10">
        <v>20</v>
      </c>
      <c r="H1851" s="103"/>
      <c r="I1851" s="108">
        <f>Tableau3[[#This Row],[Stock final]]*Tableau3[[#This Row],[P.U.]]</f>
        <v>0</v>
      </c>
      <c r="J1851" s="184"/>
    </row>
    <row r="1852" spans="1:10" ht="19.350000000000001" customHeight="1">
      <c r="A1852" s="102"/>
      <c r="B1852" s="102" t="s">
        <v>766</v>
      </c>
      <c r="C1852" s="116" t="s">
        <v>1426</v>
      </c>
      <c r="D1852" s="11" t="s">
        <v>1424</v>
      </c>
      <c r="E1852" s="113" t="s">
        <v>341</v>
      </c>
      <c r="F1852" s="107"/>
      <c r="G1852" s="10">
        <v>28</v>
      </c>
      <c r="H1852" s="103">
        <v>1.32</v>
      </c>
      <c r="I1852" s="108">
        <f>Tableau3[[#This Row],[Stock final]]*Tableau3[[#This Row],[P.U.]]</f>
        <v>36.96</v>
      </c>
      <c r="J1852" s="184"/>
    </row>
    <row r="1853" spans="1:10" ht="19.350000000000001" customHeight="1">
      <c r="A1853" s="102"/>
      <c r="B1853" s="102" t="s">
        <v>766</v>
      </c>
      <c r="C1853" s="116" t="s">
        <v>1427</v>
      </c>
      <c r="D1853" s="11" t="s">
        <v>1428</v>
      </c>
      <c r="F1853" s="107"/>
      <c r="G1853" s="10">
        <v>4</v>
      </c>
      <c r="H1853" s="103">
        <v>8.92</v>
      </c>
      <c r="I1853" s="108">
        <f>Tableau3[[#This Row],[Stock final]]*Tableau3[[#This Row],[P.U.]]</f>
        <v>35.68</v>
      </c>
      <c r="J1853" s="184"/>
    </row>
    <row r="1854" spans="1:10" ht="19.350000000000001" customHeight="1">
      <c r="A1854" s="102"/>
      <c r="B1854" s="102" t="s">
        <v>766</v>
      </c>
      <c r="C1854" s="116" t="s">
        <v>800</v>
      </c>
      <c r="D1854" s="11" t="s">
        <v>1429</v>
      </c>
      <c r="E1854" s="113" t="s">
        <v>804</v>
      </c>
      <c r="F1854" s="107"/>
      <c r="G1854" s="10">
        <v>10</v>
      </c>
      <c r="H1854" s="103">
        <v>19.809999999999999</v>
      </c>
      <c r="I1854" s="108">
        <f>Tableau3[[#This Row],[Stock final]]*Tableau3[[#This Row],[P.U.]]</f>
        <v>198.1</v>
      </c>
      <c r="J1854" s="184"/>
    </row>
    <row r="1855" spans="1:10" ht="19.350000000000001" customHeight="1">
      <c r="A1855" s="102"/>
      <c r="B1855" s="102" t="s">
        <v>766</v>
      </c>
      <c r="C1855" s="116" t="s">
        <v>1430</v>
      </c>
      <c r="D1855" s="11" t="s">
        <v>347</v>
      </c>
      <c r="E1855" s="113" t="s">
        <v>804</v>
      </c>
      <c r="F1855" s="107"/>
      <c r="G1855" s="10">
        <v>4</v>
      </c>
      <c r="H1855" s="103">
        <v>68.63</v>
      </c>
      <c r="I1855" s="108">
        <f>Tableau3[[#This Row],[Stock final]]*Tableau3[[#This Row],[P.U.]]</f>
        <v>274.52</v>
      </c>
      <c r="J1855" s="184"/>
    </row>
    <row r="1856" spans="1:10" ht="19.350000000000001" customHeight="1">
      <c r="A1856" s="102"/>
      <c r="B1856" s="102" t="s">
        <v>766</v>
      </c>
      <c r="C1856" s="116" t="s">
        <v>1431</v>
      </c>
      <c r="D1856" s="11" t="s">
        <v>1432</v>
      </c>
      <c r="F1856" s="107"/>
      <c r="G1856" s="10">
        <v>20</v>
      </c>
      <c r="H1856" s="103"/>
      <c r="I1856" s="108">
        <f>Tableau3[[#This Row],[Stock final]]*Tableau3[[#This Row],[P.U.]]</f>
        <v>0</v>
      </c>
      <c r="J1856" s="184"/>
    </row>
    <row r="1857" spans="1:10" ht="19.350000000000001" customHeight="1">
      <c r="A1857" s="102"/>
      <c r="B1857" s="102"/>
      <c r="C1857" s="116"/>
      <c r="F1857" s="107"/>
      <c r="G1857" s="10"/>
      <c r="H1857" s="103"/>
      <c r="I1857" s="108">
        <f>Tableau3[[#This Row],[Stock final]]*Tableau3[[#This Row],[P.U.]]</f>
        <v>0</v>
      </c>
      <c r="J1857" s="184"/>
    </row>
    <row r="1858" spans="1:10" ht="19.350000000000001" customHeight="1">
      <c r="A1858" s="102"/>
      <c r="B1858" s="102"/>
      <c r="C1858" s="116"/>
      <c r="F1858" s="107"/>
      <c r="G1858" s="10"/>
      <c r="H1858" s="103"/>
      <c r="I1858" s="108">
        <f>Tableau3[[#This Row],[Stock final]]*Tableau3[[#This Row],[P.U.]]</f>
        <v>0</v>
      </c>
      <c r="J1858" s="184"/>
    </row>
    <row r="1859" spans="1:10" ht="19.350000000000001" customHeight="1">
      <c r="A1859" s="102"/>
      <c r="B1859" s="102"/>
      <c r="C1859" s="116"/>
      <c r="F1859" s="107"/>
      <c r="G1859" s="10"/>
      <c r="H1859" s="103"/>
      <c r="I1859" s="108">
        <f>Tableau3[[#This Row],[Stock final]]*Tableau3[[#This Row],[P.U.]]</f>
        <v>0</v>
      </c>
      <c r="J1859" s="184"/>
    </row>
    <row r="1860" spans="1:10" ht="19.350000000000001" customHeight="1">
      <c r="A1860" s="102"/>
      <c r="B1860" s="102"/>
      <c r="C1860" s="116"/>
      <c r="F1860" s="107"/>
      <c r="G1860" s="10"/>
      <c r="H1860" s="103"/>
      <c r="I1860" s="108">
        <f>Tableau3[[#This Row],[Stock final]]*Tableau3[[#This Row],[P.U.]]</f>
        <v>0</v>
      </c>
      <c r="J1860" s="184"/>
    </row>
    <row r="1861" spans="1:10" ht="19.350000000000001" customHeight="1">
      <c r="A1861" s="102"/>
      <c r="B1861" s="102"/>
      <c r="C1861" s="116"/>
      <c r="F1861" s="107"/>
      <c r="G1861" s="10"/>
      <c r="H1861" s="103"/>
      <c r="I1861" s="108">
        <f>Tableau3[[#This Row],[Stock final]]*Tableau3[[#This Row],[P.U.]]</f>
        <v>0</v>
      </c>
      <c r="J1861" s="184"/>
    </row>
    <row r="1862" spans="1:10" ht="19.350000000000001" customHeight="1">
      <c r="A1862" s="102"/>
      <c r="B1862" s="102"/>
      <c r="C1862" s="116"/>
      <c r="F1862" s="107"/>
      <c r="G1862" s="10"/>
      <c r="H1862" s="103"/>
      <c r="I1862" s="108">
        <f>Tableau3[[#This Row],[Stock final]]*Tableau3[[#This Row],[P.U.]]</f>
        <v>0</v>
      </c>
      <c r="J1862" s="184"/>
    </row>
    <row r="1863" spans="1:10" ht="19.350000000000001" customHeight="1">
      <c r="A1863" s="102"/>
      <c r="B1863" s="102"/>
      <c r="C1863" s="116"/>
      <c r="F1863" s="107"/>
      <c r="G1863" s="10"/>
      <c r="H1863" s="103"/>
      <c r="I1863" s="108">
        <f>Tableau3[[#This Row],[Stock final]]*Tableau3[[#This Row],[P.U.]]</f>
        <v>0</v>
      </c>
      <c r="J1863" s="184"/>
    </row>
    <row r="1864" spans="1:10" ht="19.350000000000001" customHeight="1">
      <c r="A1864" s="102"/>
      <c r="B1864" s="102"/>
      <c r="C1864" s="116"/>
      <c r="F1864" s="107"/>
      <c r="G1864" s="10"/>
      <c r="H1864" s="103"/>
      <c r="I1864" s="108">
        <f>Tableau3[[#This Row],[Stock final]]*Tableau3[[#This Row],[P.U.]]</f>
        <v>0</v>
      </c>
      <c r="J1864" s="184"/>
    </row>
    <row r="1865" spans="1:10" ht="19.350000000000001" customHeight="1">
      <c r="A1865" s="102"/>
      <c r="B1865" s="102"/>
      <c r="C1865" s="116"/>
      <c r="F1865" s="107"/>
      <c r="G1865" s="10"/>
      <c r="H1865" s="103"/>
      <c r="I1865" s="108">
        <f>Tableau3[[#This Row],[Stock final]]*Tableau3[[#This Row],[P.U.]]</f>
        <v>0</v>
      </c>
      <c r="J1865" s="184"/>
    </row>
    <row r="1866" spans="1:10" ht="19.350000000000001" customHeight="1">
      <c r="A1866" s="102"/>
      <c r="B1866" s="102"/>
      <c r="C1866" s="116"/>
      <c r="F1866" s="107"/>
      <c r="G1866" s="10"/>
      <c r="H1866" s="103"/>
      <c r="I1866" s="108">
        <f>Tableau3[[#This Row],[Stock final]]*Tableau3[[#This Row],[P.U.]]</f>
        <v>0</v>
      </c>
      <c r="J1866" s="184"/>
    </row>
    <row r="1867" spans="1:10" ht="19.350000000000001" customHeight="1">
      <c r="A1867" s="102"/>
      <c r="B1867" s="102"/>
      <c r="C1867" s="116"/>
      <c r="F1867" s="107"/>
      <c r="G1867" s="10"/>
      <c r="H1867" s="103"/>
      <c r="I1867" s="108">
        <f>Tableau3[[#This Row],[Stock final]]*Tableau3[[#This Row],[P.U.]]</f>
        <v>0</v>
      </c>
      <c r="J1867" s="184"/>
    </row>
    <row r="1868" spans="1:10" ht="19.350000000000001" customHeight="1">
      <c r="A1868" s="102"/>
      <c r="B1868" s="102"/>
      <c r="C1868" s="116"/>
      <c r="F1868" s="107"/>
      <c r="G1868" s="10"/>
      <c r="H1868" s="103"/>
      <c r="I1868" s="108">
        <f>Tableau3[[#This Row],[Stock final]]*Tableau3[[#This Row],[P.U.]]</f>
        <v>0</v>
      </c>
      <c r="J1868" s="184"/>
    </row>
    <row r="1869" spans="1:10" ht="19.350000000000001" customHeight="1">
      <c r="A1869" s="102"/>
      <c r="B1869" s="102"/>
      <c r="C1869" s="116"/>
      <c r="F1869" s="107"/>
      <c r="G1869" s="10"/>
      <c r="H1869" s="103"/>
      <c r="I1869" s="108">
        <f>Tableau3[[#This Row],[Stock final]]*Tableau3[[#This Row],[P.U.]]</f>
        <v>0</v>
      </c>
      <c r="J1869" s="184"/>
    </row>
    <row r="1870" spans="1:10" ht="19.350000000000001" customHeight="1">
      <c r="A1870" s="102"/>
      <c r="B1870" s="102"/>
      <c r="C1870" s="116"/>
      <c r="F1870" s="107"/>
      <c r="G1870" s="10"/>
      <c r="H1870" s="103"/>
      <c r="I1870" s="108">
        <f>Tableau3[[#This Row],[Stock final]]*Tableau3[[#This Row],[P.U.]]</f>
        <v>0</v>
      </c>
      <c r="J1870" s="184"/>
    </row>
    <row r="1871" spans="1:10" ht="19.350000000000001" customHeight="1">
      <c r="A1871" s="102"/>
      <c r="B1871" s="102"/>
      <c r="C1871" s="116"/>
      <c r="F1871" s="107"/>
      <c r="G1871" s="10"/>
      <c r="H1871" s="103"/>
      <c r="I1871" s="108">
        <f>Tableau3[[#This Row],[Stock final]]*Tableau3[[#This Row],[P.U.]]</f>
        <v>0</v>
      </c>
      <c r="J1871" s="184"/>
    </row>
    <row r="1872" spans="1:10" ht="19.350000000000001" customHeight="1">
      <c r="A1872" s="102"/>
      <c r="B1872" s="102"/>
      <c r="C1872" s="116"/>
      <c r="F1872" s="107"/>
      <c r="G1872" s="10"/>
      <c r="H1872" s="103"/>
      <c r="I1872" s="108">
        <f>Tableau3[[#This Row],[Stock final]]*Tableau3[[#This Row],[P.U.]]</f>
        <v>0</v>
      </c>
      <c r="J1872" s="184"/>
    </row>
    <row r="1873" spans="1:10" ht="19.350000000000001" customHeight="1">
      <c r="A1873" s="102"/>
      <c r="B1873" s="102"/>
      <c r="C1873" s="116"/>
      <c r="F1873" s="107"/>
      <c r="G1873" s="10"/>
      <c r="H1873" s="103"/>
      <c r="I1873" s="108">
        <f>Tableau3[[#This Row],[Stock final]]*Tableau3[[#This Row],[P.U.]]</f>
        <v>0</v>
      </c>
      <c r="J1873" s="184"/>
    </row>
    <row r="1874" spans="1:10" ht="19.350000000000001" customHeight="1">
      <c r="A1874" s="102"/>
      <c r="B1874" s="102"/>
      <c r="C1874" s="116"/>
      <c r="F1874" s="107"/>
      <c r="G1874" s="10"/>
      <c r="H1874" s="103"/>
      <c r="I1874" s="108">
        <f>Tableau3[[#This Row],[Stock final]]*Tableau3[[#This Row],[P.U.]]</f>
        <v>0</v>
      </c>
      <c r="J1874" s="184"/>
    </row>
    <row r="1875" spans="1:10" ht="19.350000000000001" customHeight="1">
      <c r="A1875" s="102"/>
      <c r="B1875" s="102"/>
      <c r="C1875" s="116"/>
      <c r="F1875" s="107"/>
      <c r="G1875" s="10"/>
      <c r="H1875" s="103"/>
      <c r="I1875" s="108">
        <f>Tableau3[[#This Row],[Stock final]]*Tableau3[[#This Row],[P.U.]]</f>
        <v>0</v>
      </c>
      <c r="J1875" s="184"/>
    </row>
    <row r="1876" spans="1:10" ht="19.350000000000001" customHeight="1">
      <c r="A1876" s="102"/>
      <c r="B1876" s="102"/>
      <c r="C1876" s="116"/>
      <c r="F1876" s="107"/>
      <c r="G1876" s="10"/>
      <c r="H1876" s="103"/>
      <c r="I1876" s="108">
        <f>Tableau3[[#This Row],[Stock final]]*Tableau3[[#This Row],[P.U.]]</f>
        <v>0</v>
      </c>
      <c r="J1876" s="184"/>
    </row>
    <row r="1877" spans="1:10" ht="19.350000000000001" customHeight="1">
      <c r="A1877" s="102"/>
      <c r="B1877" s="102"/>
      <c r="C1877" s="116"/>
      <c r="F1877" s="107"/>
      <c r="G1877" s="10"/>
      <c r="H1877" s="103"/>
      <c r="I1877" s="108">
        <f>Tableau3[[#This Row],[Stock final]]*Tableau3[[#This Row],[P.U.]]</f>
        <v>0</v>
      </c>
      <c r="J1877" s="184"/>
    </row>
    <row r="1878" spans="1:10" ht="19.350000000000001" customHeight="1">
      <c r="A1878" s="102"/>
      <c r="B1878" s="102"/>
      <c r="C1878" s="116"/>
      <c r="F1878" s="107"/>
      <c r="G1878" s="10"/>
      <c r="H1878" s="103"/>
      <c r="I1878" s="108">
        <f>Tableau3[[#This Row],[Stock final]]*Tableau3[[#This Row],[P.U.]]</f>
        <v>0</v>
      </c>
      <c r="J1878" s="184"/>
    </row>
    <row r="1879" spans="1:10" ht="19.350000000000001" customHeight="1">
      <c r="A1879" s="102"/>
      <c r="B1879" s="102"/>
      <c r="C1879" s="116"/>
      <c r="F1879" s="107"/>
      <c r="G1879" s="10"/>
      <c r="H1879" s="103"/>
      <c r="I1879" s="108">
        <f>Tableau3[[#This Row],[Stock final]]*Tableau3[[#This Row],[P.U.]]</f>
        <v>0</v>
      </c>
      <c r="J1879" s="184"/>
    </row>
    <row r="1880" spans="1:10" ht="19.350000000000001" customHeight="1">
      <c r="A1880" s="102"/>
      <c r="B1880" s="102"/>
      <c r="C1880" s="116"/>
      <c r="F1880" s="107"/>
      <c r="G1880" s="10"/>
      <c r="H1880" s="103"/>
      <c r="I1880" s="108">
        <f>Tableau3[[#This Row],[Stock final]]*Tableau3[[#This Row],[P.U.]]</f>
        <v>0</v>
      </c>
      <c r="J1880" s="184"/>
    </row>
    <row r="1881" spans="1:10" ht="19.350000000000001" customHeight="1">
      <c r="A1881" s="102"/>
      <c r="B1881" s="102"/>
      <c r="C1881" s="116"/>
      <c r="F1881" s="107"/>
      <c r="G1881" s="10"/>
      <c r="H1881" s="103"/>
      <c r="I1881" s="108">
        <f>Tableau3[[#This Row],[Stock final]]*Tableau3[[#This Row],[P.U.]]</f>
        <v>0</v>
      </c>
      <c r="J1881" s="184"/>
    </row>
    <row r="1882" spans="1:10" ht="19.350000000000001" customHeight="1">
      <c r="A1882" s="102"/>
      <c r="B1882" s="102"/>
      <c r="C1882" s="116"/>
      <c r="F1882" s="107"/>
      <c r="G1882" s="10"/>
      <c r="H1882" s="103"/>
      <c r="I1882" s="108">
        <f>Tableau3[[#This Row],[Stock final]]*Tableau3[[#This Row],[P.U.]]</f>
        <v>0</v>
      </c>
      <c r="J1882" s="184"/>
    </row>
    <row r="1883" spans="1:10" ht="19.350000000000001" customHeight="1">
      <c r="A1883" s="102"/>
      <c r="B1883" s="102"/>
      <c r="C1883" s="116"/>
      <c r="F1883" s="107"/>
      <c r="G1883" s="10"/>
      <c r="H1883" s="103"/>
      <c r="I1883" s="108">
        <f>Tableau3[[#This Row],[Stock final]]*Tableau3[[#This Row],[P.U.]]</f>
        <v>0</v>
      </c>
      <c r="J1883" s="184"/>
    </row>
    <row r="1884" spans="1:10" ht="19.350000000000001" customHeight="1">
      <c r="A1884" s="102"/>
      <c r="B1884" s="102"/>
      <c r="C1884" s="116"/>
      <c r="F1884" s="107"/>
      <c r="G1884" s="10"/>
      <c r="H1884" s="103"/>
      <c r="I1884" s="108">
        <f>Tableau3[[#This Row],[Stock final]]*Tableau3[[#This Row],[P.U.]]</f>
        <v>0</v>
      </c>
      <c r="J1884" s="184"/>
    </row>
    <row r="1885" spans="1:10" ht="19.350000000000001" customHeight="1">
      <c r="A1885" s="102"/>
      <c r="B1885" s="102"/>
      <c r="C1885" s="116"/>
      <c r="F1885" s="107"/>
      <c r="G1885" s="10"/>
      <c r="H1885" s="103"/>
      <c r="I1885" s="108">
        <f>Tableau3[[#This Row],[Stock final]]*Tableau3[[#This Row],[P.U.]]</f>
        <v>0</v>
      </c>
      <c r="J1885" s="184"/>
    </row>
    <row r="1886" spans="1:10" ht="19.350000000000001" customHeight="1">
      <c r="A1886" s="102"/>
      <c r="B1886" s="102"/>
      <c r="C1886" s="116"/>
      <c r="F1886" s="107"/>
      <c r="G1886" s="10"/>
      <c r="H1886" s="103"/>
      <c r="I1886" s="108">
        <f>Tableau3[[#This Row],[Stock final]]*Tableau3[[#This Row],[P.U.]]</f>
        <v>0</v>
      </c>
      <c r="J1886" s="184"/>
    </row>
    <row r="1887" spans="1:10" ht="19.350000000000001" customHeight="1">
      <c r="A1887" s="102"/>
      <c r="B1887" s="102"/>
      <c r="C1887" s="116"/>
      <c r="F1887" s="107"/>
      <c r="G1887" s="10"/>
      <c r="H1887" s="103"/>
      <c r="I1887" s="108">
        <f>Tableau3[[#This Row],[Stock final]]*Tableau3[[#This Row],[P.U.]]</f>
        <v>0</v>
      </c>
      <c r="J1887" s="184"/>
    </row>
    <row r="1888" spans="1:10" ht="19.350000000000001" customHeight="1">
      <c r="A1888" s="102"/>
      <c r="B1888" s="105" t="s">
        <v>849</v>
      </c>
      <c r="C1888" s="116" t="s">
        <v>850</v>
      </c>
      <c r="D1888" s="114" t="s">
        <v>990</v>
      </c>
      <c r="F1888" s="107"/>
      <c r="G1888" s="10"/>
      <c r="H1888" s="103">
        <v>11.67</v>
      </c>
      <c r="I1888" s="108">
        <f>Tableau3[[#This Row],[Stock final]]*Tableau3[[#This Row],[P.U.]]</f>
        <v>0</v>
      </c>
      <c r="J1888" s="184"/>
    </row>
    <row r="1889" spans="1:10" ht="19.350000000000001" customHeight="1">
      <c r="A1889" s="102"/>
      <c r="B1889" s="102" t="s">
        <v>849</v>
      </c>
      <c r="C1889" s="116" t="s">
        <v>851</v>
      </c>
      <c r="D1889" s="114" t="s">
        <v>989</v>
      </c>
      <c r="F1889" s="107"/>
      <c r="G1889" s="10">
        <v>9</v>
      </c>
      <c r="H1889" s="103">
        <v>4.8600000000000003</v>
      </c>
      <c r="I1889" s="108">
        <f>Tableau3[[#This Row],[Stock final]]*Tableau3[[#This Row],[P.U.]]</f>
        <v>43.74</v>
      </c>
      <c r="J1889" s="184"/>
    </row>
    <row r="1890" spans="1:10" ht="19.350000000000001" customHeight="1">
      <c r="A1890" s="102"/>
      <c r="B1890" s="102" t="s">
        <v>849</v>
      </c>
      <c r="C1890" s="116" t="s">
        <v>852</v>
      </c>
      <c r="D1890" s="114" t="s">
        <v>988</v>
      </c>
      <c r="F1890" s="107"/>
      <c r="G1890" s="10">
        <v>8</v>
      </c>
      <c r="H1890" s="103">
        <v>7.75</v>
      </c>
      <c r="I1890" s="108">
        <f>Tableau3[[#This Row],[Stock final]]*Tableau3[[#This Row],[P.U.]]</f>
        <v>62</v>
      </c>
      <c r="J1890" s="184"/>
    </row>
    <row r="1891" spans="1:10" ht="19.350000000000001" customHeight="1">
      <c r="A1891" s="102"/>
      <c r="B1891" s="102" t="s">
        <v>849</v>
      </c>
      <c r="C1891" s="116" t="s">
        <v>853</v>
      </c>
      <c r="D1891" s="114" t="s">
        <v>987</v>
      </c>
      <c r="F1891" s="107"/>
      <c r="G1891" s="10">
        <v>12</v>
      </c>
      <c r="H1891" s="103">
        <v>3.52</v>
      </c>
      <c r="I1891" s="108">
        <f>Tableau3[[#This Row],[Stock final]]*Tableau3[[#This Row],[P.U.]]</f>
        <v>42.24</v>
      </c>
      <c r="J1891" s="184"/>
    </row>
    <row r="1892" spans="1:10" ht="19.350000000000001" customHeight="1">
      <c r="A1892" s="102"/>
      <c r="B1892" s="102" t="s">
        <v>849</v>
      </c>
      <c r="C1892" s="116" t="s">
        <v>854</v>
      </c>
      <c r="D1892" s="114" t="s">
        <v>855</v>
      </c>
      <c r="F1892" s="107"/>
      <c r="G1892" s="10"/>
      <c r="H1892" s="103">
        <v>22.05</v>
      </c>
      <c r="I1892" s="108">
        <f>Tableau3[[#This Row],[Stock final]]*Tableau3[[#This Row],[P.U.]]</f>
        <v>0</v>
      </c>
      <c r="J1892" s="184"/>
    </row>
    <row r="1893" spans="1:10" ht="19.350000000000001" customHeight="1">
      <c r="A1893" s="102"/>
      <c r="B1893" s="102" t="s">
        <v>849</v>
      </c>
      <c r="C1893" s="116" t="s">
        <v>856</v>
      </c>
      <c r="D1893" s="114" t="s">
        <v>986</v>
      </c>
      <c r="F1893" s="107"/>
      <c r="G1893" s="10"/>
      <c r="H1893" s="103">
        <v>6.46</v>
      </c>
      <c r="I1893" s="108">
        <f>Tableau3[[#This Row],[Stock final]]*Tableau3[[#This Row],[P.U.]]</f>
        <v>0</v>
      </c>
      <c r="J1893" s="184"/>
    </row>
    <row r="1894" spans="1:10" ht="19.350000000000001" customHeight="1">
      <c r="A1894" s="102"/>
      <c r="B1894" s="102" t="s">
        <v>849</v>
      </c>
      <c r="C1894" s="116" t="s">
        <v>857</v>
      </c>
      <c r="D1894" s="114" t="s">
        <v>858</v>
      </c>
      <c r="F1894" s="107"/>
      <c r="G1894" s="10">
        <v>2</v>
      </c>
      <c r="H1894" s="103">
        <v>25.45</v>
      </c>
      <c r="I1894" s="108">
        <f>Tableau3[[#This Row],[Stock final]]*Tableau3[[#This Row],[P.U.]]</f>
        <v>50.9</v>
      </c>
      <c r="J1894" s="184"/>
    </row>
    <row r="1895" spans="1:10" ht="19.350000000000001" customHeight="1">
      <c r="A1895" s="102"/>
      <c r="B1895" s="102" t="s">
        <v>849</v>
      </c>
      <c r="C1895" s="116" t="s">
        <v>859</v>
      </c>
      <c r="D1895" s="114" t="s">
        <v>985</v>
      </c>
      <c r="F1895" s="107"/>
      <c r="G1895" s="10">
        <v>40</v>
      </c>
      <c r="H1895" s="103">
        <v>1.41</v>
      </c>
      <c r="I1895" s="108">
        <f>Tableau3[[#This Row],[Stock final]]*Tableau3[[#This Row],[P.U.]]</f>
        <v>56.4</v>
      </c>
      <c r="J1895" s="184"/>
    </row>
    <row r="1896" spans="1:10" ht="19.350000000000001" customHeight="1">
      <c r="A1896" s="102"/>
      <c r="B1896" s="102" t="s">
        <v>849</v>
      </c>
      <c r="C1896" s="116" t="s">
        <v>860</v>
      </c>
      <c r="D1896" s="114" t="s">
        <v>984</v>
      </c>
      <c r="F1896" s="107"/>
      <c r="G1896" s="10">
        <v>3</v>
      </c>
      <c r="H1896" s="103">
        <v>2.97</v>
      </c>
      <c r="I1896" s="108">
        <f>Tableau3[[#This Row],[Stock final]]*Tableau3[[#This Row],[P.U.]]</f>
        <v>8.91</v>
      </c>
      <c r="J1896" s="184"/>
    </row>
    <row r="1897" spans="1:10" ht="19.350000000000001" customHeight="1">
      <c r="A1897" s="102"/>
      <c r="B1897" s="102" t="s">
        <v>849</v>
      </c>
      <c r="C1897" s="116" t="s">
        <v>861</v>
      </c>
      <c r="D1897" s="114" t="s">
        <v>974</v>
      </c>
      <c r="E1897" s="113" t="s">
        <v>862</v>
      </c>
      <c r="F1897" s="107"/>
      <c r="G1897" s="10">
        <v>13</v>
      </c>
      <c r="H1897" s="103">
        <v>2.14</v>
      </c>
      <c r="I1897" s="108">
        <f>Tableau3[[#This Row],[Stock final]]*Tableau3[[#This Row],[P.U.]]</f>
        <v>27.82</v>
      </c>
      <c r="J1897" s="184"/>
    </row>
    <row r="1898" spans="1:10" ht="19.350000000000001" customHeight="1">
      <c r="A1898" s="102"/>
      <c r="B1898" s="102" t="s">
        <v>849</v>
      </c>
      <c r="C1898" s="116" t="s">
        <v>863</v>
      </c>
      <c r="D1898" s="114" t="s">
        <v>973</v>
      </c>
      <c r="E1898" s="113" t="s">
        <v>862</v>
      </c>
      <c r="F1898" s="107"/>
      <c r="G1898" s="10">
        <v>7</v>
      </c>
      <c r="H1898" s="103">
        <v>2.09</v>
      </c>
      <c r="I1898" s="108">
        <f>Tableau3[[#This Row],[Stock final]]*Tableau3[[#This Row],[P.U.]]</f>
        <v>14.629999999999999</v>
      </c>
      <c r="J1898" s="184"/>
    </row>
    <row r="1899" spans="1:10" ht="19.350000000000001" customHeight="1">
      <c r="A1899" s="102"/>
      <c r="B1899" s="102" t="s">
        <v>849</v>
      </c>
      <c r="C1899" s="116" t="s">
        <v>864</v>
      </c>
      <c r="D1899" s="114" t="s">
        <v>983</v>
      </c>
      <c r="E1899" s="113" t="s">
        <v>862</v>
      </c>
      <c r="F1899" s="107"/>
      <c r="G1899" s="10">
        <v>20</v>
      </c>
      <c r="H1899" s="103">
        <v>2.0699999999999998</v>
      </c>
      <c r="I1899" s="108">
        <f>Tableau3[[#This Row],[Stock final]]*Tableau3[[#This Row],[P.U.]]</f>
        <v>41.4</v>
      </c>
      <c r="J1899" s="184"/>
    </row>
    <row r="1900" spans="1:10" ht="19.350000000000001" customHeight="1">
      <c r="A1900" s="102"/>
      <c r="B1900" s="102" t="s">
        <v>849</v>
      </c>
      <c r="C1900" s="116" t="s">
        <v>865</v>
      </c>
      <c r="D1900" s="114" t="s">
        <v>970</v>
      </c>
      <c r="E1900" s="113" t="s">
        <v>862</v>
      </c>
      <c r="F1900" s="107"/>
      <c r="G1900" s="10">
        <v>5</v>
      </c>
      <c r="H1900" s="103">
        <v>2.1</v>
      </c>
      <c r="I1900" s="108">
        <f>Tableau3[[#This Row],[Stock final]]*Tableau3[[#This Row],[P.U.]]</f>
        <v>10.5</v>
      </c>
      <c r="J1900" s="184"/>
    </row>
    <row r="1901" spans="1:10" ht="19.350000000000001" customHeight="1">
      <c r="A1901" s="102"/>
      <c r="B1901" s="102" t="s">
        <v>849</v>
      </c>
      <c r="C1901" s="116" t="s">
        <v>866</v>
      </c>
      <c r="D1901" s="114" t="s">
        <v>982</v>
      </c>
      <c r="E1901" s="113" t="s">
        <v>862</v>
      </c>
      <c r="F1901" s="107"/>
      <c r="G1901" s="10"/>
      <c r="H1901" s="103">
        <v>3.33</v>
      </c>
      <c r="I1901" s="108">
        <f>Tableau3[[#This Row],[Stock final]]*Tableau3[[#This Row],[P.U.]]</f>
        <v>0</v>
      </c>
      <c r="J1901" s="184"/>
    </row>
    <row r="1902" spans="1:10" ht="19.350000000000001" customHeight="1">
      <c r="A1902" s="102"/>
      <c r="B1902" s="102" t="s">
        <v>849</v>
      </c>
      <c r="C1902" s="116" t="s">
        <v>867</v>
      </c>
      <c r="D1902" s="114" t="s">
        <v>981</v>
      </c>
      <c r="E1902" s="113" t="s">
        <v>862</v>
      </c>
      <c r="F1902" s="107"/>
      <c r="G1902" s="10">
        <v>8</v>
      </c>
      <c r="H1902" s="103">
        <v>10.31</v>
      </c>
      <c r="I1902" s="108">
        <f>Tableau3[[#This Row],[Stock final]]*Tableau3[[#This Row],[P.U.]]</f>
        <v>82.48</v>
      </c>
      <c r="J1902" s="184"/>
    </row>
    <row r="1903" spans="1:10" ht="19.350000000000001" customHeight="1">
      <c r="A1903" s="102"/>
      <c r="B1903" s="102" t="s">
        <v>849</v>
      </c>
      <c r="C1903" s="116" t="s">
        <v>868</v>
      </c>
      <c r="D1903" s="114" t="s">
        <v>977</v>
      </c>
      <c r="E1903" s="113" t="s">
        <v>862</v>
      </c>
      <c r="F1903" s="107"/>
      <c r="G1903" s="10">
        <v>6</v>
      </c>
      <c r="H1903" s="103">
        <v>12.18</v>
      </c>
      <c r="I1903" s="108">
        <f>Tableau3[[#This Row],[Stock final]]*Tableau3[[#This Row],[P.U.]]</f>
        <v>73.08</v>
      </c>
      <c r="J1903" s="184"/>
    </row>
    <row r="1904" spans="1:10" ht="19.350000000000001" customHeight="1">
      <c r="A1904" s="102"/>
      <c r="B1904" s="102" t="s">
        <v>849</v>
      </c>
      <c r="C1904" s="116" t="s">
        <v>869</v>
      </c>
      <c r="D1904" s="114" t="s">
        <v>980</v>
      </c>
      <c r="E1904" s="113" t="s">
        <v>862</v>
      </c>
      <c r="F1904" s="107"/>
      <c r="G1904" s="10"/>
      <c r="H1904" s="103">
        <v>15.2</v>
      </c>
      <c r="I1904" s="108">
        <f>Tableau3[[#This Row],[Stock final]]*Tableau3[[#This Row],[P.U.]]</f>
        <v>0</v>
      </c>
      <c r="J1904" s="184"/>
    </row>
    <row r="1905" spans="1:10" ht="19.350000000000001" customHeight="1">
      <c r="A1905" s="102"/>
      <c r="B1905" s="102" t="s">
        <v>849</v>
      </c>
      <c r="C1905" s="116" t="s">
        <v>870</v>
      </c>
      <c r="D1905" s="114" t="s">
        <v>871</v>
      </c>
      <c r="E1905" s="113" t="s">
        <v>862</v>
      </c>
      <c r="F1905" s="107"/>
      <c r="G1905" s="10"/>
      <c r="H1905" s="103">
        <v>10.11</v>
      </c>
      <c r="I1905" s="108">
        <f>Tableau3[[#This Row],[Stock final]]*Tableau3[[#This Row],[P.U.]]</f>
        <v>0</v>
      </c>
      <c r="J1905" s="184"/>
    </row>
    <row r="1906" spans="1:10" ht="19.350000000000001" customHeight="1">
      <c r="A1906" s="102"/>
      <c r="B1906" s="102" t="s">
        <v>849</v>
      </c>
      <c r="C1906" s="116" t="s">
        <v>872</v>
      </c>
      <c r="D1906" s="114" t="s">
        <v>873</v>
      </c>
      <c r="E1906" s="113" t="s">
        <v>862</v>
      </c>
      <c r="F1906" s="107"/>
      <c r="G1906" s="10">
        <v>1</v>
      </c>
      <c r="H1906" s="103">
        <v>14.74</v>
      </c>
      <c r="I1906" s="108">
        <f>Tableau3[[#This Row],[Stock final]]*Tableau3[[#This Row],[P.U.]]</f>
        <v>14.74</v>
      </c>
      <c r="J1906" s="184"/>
    </row>
    <row r="1907" spans="1:10" ht="19.350000000000001" customHeight="1">
      <c r="A1907" s="102"/>
      <c r="B1907" s="102" t="s">
        <v>849</v>
      </c>
      <c r="C1907" s="116" t="s">
        <v>874</v>
      </c>
      <c r="D1907" s="114" t="s">
        <v>875</v>
      </c>
      <c r="E1907" s="113" t="s">
        <v>862</v>
      </c>
      <c r="F1907" s="107"/>
      <c r="G1907" s="10">
        <v>1</v>
      </c>
      <c r="H1907" s="103">
        <v>18.440000000000001</v>
      </c>
      <c r="I1907" s="108">
        <f>Tableau3[[#This Row],[Stock final]]*Tableau3[[#This Row],[P.U.]]</f>
        <v>18.440000000000001</v>
      </c>
      <c r="J1907" s="184"/>
    </row>
    <row r="1908" spans="1:10" ht="19.350000000000001" customHeight="1">
      <c r="A1908" s="102"/>
      <c r="B1908" s="102" t="s">
        <v>849</v>
      </c>
      <c r="C1908" s="116" t="s">
        <v>876</v>
      </c>
      <c r="D1908" s="114" t="s">
        <v>979</v>
      </c>
      <c r="E1908" s="113" t="s">
        <v>877</v>
      </c>
      <c r="F1908" s="107"/>
      <c r="G1908" s="10">
        <v>30</v>
      </c>
      <c r="H1908" s="103">
        <v>0.8</v>
      </c>
      <c r="I1908" s="108">
        <f>Tableau3[[#This Row],[Stock final]]*Tableau3[[#This Row],[P.U.]]</f>
        <v>24</v>
      </c>
      <c r="J1908" s="184"/>
    </row>
    <row r="1909" spans="1:10" ht="19.350000000000001" customHeight="1">
      <c r="A1909" s="102"/>
      <c r="B1909" s="102" t="s">
        <v>849</v>
      </c>
      <c r="C1909" s="116" t="s">
        <v>878</v>
      </c>
      <c r="D1909" s="114" t="s">
        <v>978</v>
      </c>
      <c r="E1909" s="113" t="s">
        <v>879</v>
      </c>
      <c r="F1909" s="107"/>
      <c r="G1909" s="10">
        <v>3</v>
      </c>
      <c r="H1909" s="103">
        <v>8.3699999999999992</v>
      </c>
      <c r="I1909" s="108">
        <f>Tableau3[[#This Row],[Stock final]]*Tableau3[[#This Row],[P.U.]]</f>
        <v>25.11</v>
      </c>
      <c r="J1909" s="184"/>
    </row>
    <row r="1910" spans="1:10" ht="19.350000000000001" customHeight="1">
      <c r="A1910" s="102"/>
      <c r="B1910" s="102" t="s">
        <v>849</v>
      </c>
      <c r="C1910" s="116" t="s">
        <v>880</v>
      </c>
      <c r="D1910" s="114" t="s">
        <v>977</v>
      </c>
      <c r="E1910" s="113" t="s">
        <v>879</v>
      </c>
      <c r="F1910" s="107"/>
      <c r="G1910" s="10">
        <v>3</v>
      </c>
      <c r="H1910" s="103">
        <v>12.18</v>
      </c>
      <c r="I1910" s="108">
        <f>Tableau3[[#This Row],[Stock final]]*Tableau3[[#This Row],[P.U.]]</f>
        <v>36.54</v>
      </c>
      <c r="J1910" s="184"/>
    </row>
    <row r="1911" spans="1:10" ht="19.350000000000001" customHeight="1">
      <c r="A1911" s="102"/>
      <c r="B1911" s="102" t="s">
        <v>849</v>
      </c>
      <c r="C1911" s="116" t="s">
        <v>881</v>
      </c>
      <c r="D1911" s="114" t="s">
        <v>965</v>
      </c>
      <c r="E1911" s="113" t="s">
        <v>879</v>
      </c>
      <c r="F1911" s="107"/>
      <c r="G1911" s="10"/>
      <c r="H1911" s="103">
        <v>15.2</v>
      </c>
      <c r="I1911" s="108">
        <f>Tableau3[[#This Row],[Stock final]]*Tableau3[[#This Row],[P.U.]]</f>
        <v>0</v>
      </c>
      <c r="J1911" s="184"/>
    </row>
    <row r="1912" spans="1:10" ht="19.350000000000001" customHeight="1">
      <c r="A1912" s="102"/>
      <c r="B1912" s="102" t="s">
        <v>849</v>
      </c>
      <c r="C1912" s="116" t="s">
        <v>882</v>
      </c>
      <c r="D1912" s="114" t="s">
        <v>883</v>
      </c>
      <c r="E1912" s="113" t="s">
        <v>879</v>
      </c>
      <c r="F1912" s="107"/>
      <c r="G1912" s="10">
        <v>13</v>
      </c>
      <c r="H1912" s="103">
        <v>10.84</v>
      </c>
      <c r="I1912" s="108">
        <f>Tableau3[[#This Row],[Stock final]]*Tableau3[[#This Row],[P.U.]]</f>
        <v>140.91999999999999</v>
      </c>
      <c r="J1912" s="184"/>
    </row>
    <row r="1913" spans="1:10" ht="19.350000000000001" customHeight="1">
      <c r="A1913" s="102"/>
      <c r="B1913" s="102" t="s">
        <v>849</v>
      </c>
      <c r="C1913" s="116" t="s">
        <v>884</v>
      </c>
      <c r="D1913" s="114" t="s">
        <v>976</v>
      </c>
      <c r="E1913" s="113" t="s">
        <v>879</v>
      </c>
      <c r="F1913" s="107"/>
      <c r="G1913" s="10">
        <v>9</v>
      </c>
      <c r="H1913" s="103">
        <v>2.1</v>
      </c>
      <c r="I1913" s="108">
        <f>Tableau3[[#This Row],[Stock final]]*Tableau3[[#This Row],[P.U.]]</f>
        <v>18.900000000000002</v>
      </c>
      <c r="J1913" s="184"/>
    </row>
    <row r="1914" spans="1:10" ht="19.350000000000001" customHeight="1">
      <c r="A1914" s="102"/>
      <c r="B1914" s="102" t="s">
        <v>849</v>
      </c>
      <c r="C1914" s="116" t="s">
        <v>885</v>
      </c>
      <c r="D1914" s="114" t="s">
        <v>975</v>
      </c>
      <c r="E1914" s="113" t="s">
        <v>879</v>
      </c>
      <c r="F1914" s="107"/>
      <c r="G1914" s="10"/>
      <c r="H1914" s="103">
        <v>3.33</v>
      </c>
      <c r="I1914" s="108">
        <f>Tableau3[[#This Row],[Stock final]]*Tableau3[[#This Row],[P.U.]]</f>
        <v>0</v>
      </c>
      <c r="J1914" s="184"/>
    </row>
    <row r="1915" spans="1:10" ht="19.350000000000001" customHeight="1">
      <c r="A1915" s="102"/>
      <c r="B1915" s="102" t="s">
        <v>849</v>
      </c>
      <c r="C1915" s="116" t="s">
        <v>886</v>
      </c>
      <c r="D1915" s="114" t="s">
        <v>968</v>
      </c>
      <c r="E1915" s="113" t="s">
        <v>879</v>
      </c>
      <c r="F1915" s="107"/>
      <c r="G1915" s="10"/>
      <c r="H1915" s="103">
        <v>1.68</v>
      </c>
      <c r="I1915" s="108">
        <f>Tableau3[[#This Row],[Stock final]]*Tableau3[[#This Row],[P.U.]]</f>
        <v>0</v>
      </c>
      <c r="J1915" s="184"/>
    </row>
    <row r="1916" spans="1:10" ht="19.350000000000001" customHeight="1">
      <c r="A1916" s="102"/>
      <c r="B1916" s="102" t="s">
        <v>849</v>
      </c>
      <c r="C1916" s="116" t="s">
        <v>1433</v>
      </c>
      <c r="D1916" s="114" t="s">
        <v>973</v>
      </c>
      <c r="E1916" s="113" t="s">
        <v>890</v>
      </c>
      <c r="F1916" s="107"/>
      <c r="G1916" s="10">
        <v>39</v>
      </c>
      <c r="H1916" s="103">
        <v>2.09</v>
      </c>
      <c r="I1916" s="108">
        <f>Tableau3[[#This Row],[Stock final]]*Tableau3[[#This Row],[P.U.]]</f>
        <v>81.509999999999991</v>
      </c>
      <c r="J1916" s="184"/>
    </row>
    <row r="1917" spans="1:10" ht="19.350000000000001" customHeight="1">
      <c r="A1917" s="102"/>
      <c r="B1917" s="102" t="s">
        <v>849</v>
      </c>
      <c r="C1917" s="116" t="s">
        <v>888</v>
      </c>
      <c r="D1917" s="114" t="s">
        <v>974</v>
      </c>
      <c r="E1917" s="113" t="s">
        <v>879</v>
      </c>
      <c r="F1917" s="107"/>
      <c r="G1917" s="10">
        <v>10</v>
      </c>
      <c r="H1917" s="103">
        <v>2.14</v>
      </c>
      <c r="I1917" s="108">
        <f>Tableau3[[#This Row],[Stock final]]*Tableau3[[#This Row],[P.U.]]</f>
        <v>21.400000000000002</v>
      </c>
      <c r="J1917" s="184"/>
    </row>
    <row r="1918" spans="1:10" ht="19.350000000000001" customHeight="1">
      <c r="A1918" s="102"/>
      <c r="B1918" s="102" t="s">
        <v>849</v>
      </c>
      <c r="C1918" s="116" t="s">
        <v>887</v>
      </c>
      <c r="D1918" s="114" t="s">
        <v>967</v>
      </c>
      <c r="E1918" s="113" t="s">
        <v>879</v>
      </c>
      <c r="F1918" s="107"/>
      <c r="G1918" s="10">
        <v>21</v>
      </c>
      <c r="H1918" s="103">
        <v>2.0699999999999998</v>
      </c>
      <c r="I1918" s="108">
        <f>Tableau3[[#This Row],[Stock final]]*Tableau3[[#This Row],[P.U.]]</f>
        <v>43.47</v>
      </c>
      <c r="J1918" s="184"/>
    </row>
    <row r="1919" spans="1:10" ht="19.350000000000001" customHeight="1">
      <c r="A1919" s="102"/>
      <c r="B1919" s="102" t="s">
        <v>849</v>
      </c>
      <c r="C1919" s="116" t="s">
        <v>889</v>
      </c>
      <c r="D1919" s="114" t="s">
        <v>973</v>
      </c>
      <c r="E1919" s="113" t="s">
        <v>890</v>
      </c>
      <c r="F1919" s="107"/>
      <c r="G1919" s="10"/>
      <c r="H1919" s="103">
        <v>0.81</v>
      </c>
      <c r="I1919" s="108">
        <f>Tableau3[[#This Row],[Stock final]]*Tableau3[[#This Row],[P.U.]]</f>
        <v>0</v>
      </c>
      <c r="J1919" s="184"/>
    </row>
    <row r="1920" spans="1:10" ht="19.350000000000001" customHeight="1">
      <c r="A1920" s="102"/>
      <c r="B1920" s="102" t="s">
        <v>849</v>
      </c>
      <c r="C1920" s="116" t="s">
        <v>891</v>
      </c>
      <c r="D1920" s="114" t="s">
        <v>972</v>
      </c>
      <c r="E1920" s="113" t="s">
        <v>890</v>
      </c>
      <c r="F1920" s="107"/>
      <c r="G1920" s="10"/>
      <c r="H1920" s="103">
        <v>1.5</v>
      </c>
      <c r="I1920" s="108">
        <f>Tableau3[[#This Row],[Stock final]]*Tableau3[[#This Row],[P.U.]]</f>
        <v>0</v>
      </c>
      <c r="J1920" s="184"/>
    </row>
    <row r="1921" spans="1:10" ht="19.350000000000001" customHeight="1">
      <c r="A1921" s="102"/>
      <c r="B1921" s="102" t="s">
        <v>849</v>
      </c>
      <c r="C1921" s="116" t="s">
        <v>892</v>
      </c>
      <c r="D1921" s="114" t="s">
        <v>971</v>
      </c>
      <c r="E1921" s="113" t="s">
        <v>890</v>
      </c>
      <c r="F1921" s="107"/>
      <c r="G1921" s="10">
        <v>21</v>
      </c>
      <c r="H1921" s="103">
        <v>4.83</v>
      </c>
      <c r="I1921" s="108">
        <f>Tableau3[[#This Row],[Stock final]]*Tableau3[[#This Row],[P.U.]]</f>
        <v>101.43</v>
      </c>
      <c r="J1921" s="184"/>
    </row>
    <row r="1922" spans="1:10" ht="19.350000000000001" customHeight="1">
      <c r="A1922" s="102"/>
      <c r="B1922" s="102" t="s">
        <v>849</v>
      </c>
      <c r="C1922" s="116" t="s">
        <v>893</v>
      </c>
      <c r="D1922" s="114" t="s">
        <v>970</v>
      </c>
      <c r="E1922" s="113" t="s">
        <v>890</v>
      </c>
      <c r="F1922" s="107"/>
      <c r="G1922" s="10">
        <v>7</v>
      </c>
      <c r="H1922" s="103">
        <v>0.83</v>
      </c>
      <c r="I1922" s="108">
        <f>Tableau3[[#This Row],[Stock final]]*Tableau3[[#This Row],[P.U.]]</f>
        <v>5.81</v>
      </c>
      <c r="J1922" s="184"/>
    </row>
    <row r="1923" spans="1:10" ht="19.350000000000001" customHeight="1">
      <c r="A1923" s="102"/>
      <c r="B1923" s="102" t="s">
        <v>849</v>
      </c>
      <c r="C1923" s="116" t="s">
        <v>894</v>
      </c>
      <c r="D1923" s="114" t="s">
        <v>969</v>
      </c>
      <c r="E1923" s="113" t="s">
        <v>890</v>
      </c>
      <c r="F1923" s="107"/>
      <c r="G1923" s="10">
        <v>9</v>
      </c>
      <c r="H1923" s="103">
        <v>2.06</v>
      </c>
      <c r="I1923" s="108">
        <f>Tableau3[[#This Row],[Stock final]]*Tableau3[[#This Row],[P.U.]]</f>
        <v>18.54</v>
      </c>
      <c r="J1923" s="184"/>
    </row>
    <row r="1924" spans="1:10" ht="19.350000000000001" customHeight="1">
      <c r="A1924" s="102"/>
      <c r="B1924" s="102" t="s">
        <v>849</v>
      </c>
      <c r="C1924" s="116" t="s">
        <v>895</v>
      </c>
      <c r="D1924" s="114" t="s">
        <v>968</v>
      </c>
      <c r="E1924" s="113" t="s">
        <v>890</v>
      </c>
      <c r="F1924" s="107"/>
      <c r="G1924" s="10">
        <v>10</v>
      </c>
      <c r="H1924" s="103">
        <v>1.04</v>
      </c>
      <c r="I1924" s="108">
        <f>Tableau3[[#This Row],[Stock final]]*Tableau3[[#This Row],[P.U.]]</f>
        <v>10.4</v>
      </c>
      <c r="J1924" s="184"/>
    </row>
    <row r="1925" spans="1:10" ht="19.350000000000001" customHeight="1">
      <c r="A1925" s="102"/>
      <c r="B1925" s="102" t="s">
        <v>849</v>
      </c>
      <c r="C1925" s="116" t="s">
        <v>889</v>
      </c>
      <c r="D1925" s="114" t="s">
        <v>967</v>
      </c>
      <c r="E1925" s="113" t="s">
        <v>890</v>
      </c>
      <c r="F1925" s="107"/>
      <c r="G1925" s="10">
        <v>18</v>
      </c>
      <c r="H1925" s="103">
        <v>0.8</v>
      </c>
      <c r="I1925" s="108">
        <f>Tableau3[[#This Row],[Stock final]]*Tableau3[[#This Row],[P.U.]]</f>
        <v>14.4</v>
      </c>
      <c r="J1925" s="184"/>
    </row>
    <row r="1926" spans="1:10" ht="19.350000000000001" customHeight="1">
      <c r="A1926" s="102"/>
      <c r="B1926" s="102" t="s">
        <v>849</v>
      </c>
      <c r="C1926" s="116" t="s">
        <v>896</v>
      </c>
      <c r="D1926" s="114" t="s">
        <v>897</v>
      </c>
      <c r="E1926" s="113" t="s">
        <v>890</v>
      </c>
      <c r="F1926" s="107"/>
      <c r="G1926" s="10">
        <v>4</v>
      </c>
      <c r="H1926" s="103">
        <v>5.27</v>
      </c>
      <c r="I1926" s="108">
        <f>Tableau3[[#This Row],[Stock final]]*Tableau3[[#This Row],[P.U.]]</f>
        <v>21.08</v>
      </c>
      <c r="J1926" s="184"/>
    </row>
    <row r="1927" spans="1:10" ht="19.350000000000001" customHeight="1">
      <c r="A1927" s="102"/>
      <c r="B1927" s="102" t="s">
        <v>849</v>
      </c>
      <c r="C1927" s="116" t="s">
        <v>898</v>
      </c>
      <c r="D1927" s="114" t="s">
        <v>899</v>
      </c>
      <c r="E1927" s="113" t="s">
        <v>890</v>
      </c>
      <c r="F1927" s="107"/>
      <c r="G1927" s="10">
        <v>2</v>
      </c>
      <c r="H1927" s="103">
        <v>2.06</v>
      </c>
      <c r="I1927" s="108">
        <f>Tableau3[[#This Row],[Stock final]]*Tableau3[[#This Row],[P.U.]]</f>
        <v>4.12</v>
      </c>
      <c r="J1927" s="184"/>
    </row>
    <row r="1928" spans="1:10" ht="19.350000000000001" customHeight="1">
      <c r="A1928" s="102"/>
      <c r="B1928" s="102" t="s">
        <v>849</v>
      </c>
      <c r="C1928" s="116" t="s">
        <v>900</v>
      </c>
      <c r="D1928" s="114" t="s">
        <v>966</v>
      </c>
      <c r="E1928" s="113" t="s">
        <v>890</v>
      </c>
      <c r="F1928" s="107"/>
      <c r="G1928" s="10"/>
      <c r="H1928" s="103">
        <v>7.01</v>
      </c>
      <c r="I1928" s="108">
        <f>Tableau3[[#This Row],[Stock final]]*Tableau3[[#This Row],[P.U.]]</f>
        <v>0</v>
      </c>
      <c r="J1928" s="184"/>
    </row>
    <row r="1929" spans="1:10" ht="19.350000000000001" customHeight="1">
      <c r="A1929" s="102"/>
      <c r="B1929" s="102" t="s">
        <v>849</v>
      </c>
      <c r="C1929" s="116" t="s">
        <v>901</v>
      </c>
      <c r="D1929" s="114" t="s">
        <v>965</v>
      </c>
      <c r="E1929" s="113" t="s">
        <v>890</v>
      </c>
      <c r="F1929" s="107"/>
      <c r="G1929" s="10">
        <v>2</v>
      </c>
      <c r="H1929" s="103">
        <v>12.65</v>
      </c>
      <c r="I1929" s="108">
        <f>Tableau3[[#This Row],[Stock final]]*Tableau3[[#This Row],[P.U.]]</f>
        <v>25.3</v>
      </c>
      <c r="J1929" s="184"/>
    </row>
    <row r="1930" spans="1:10" ht="19.350000000000001" customHeight="1">
      <c r="A1930" s="102"/>
      <c r="B1930" s="102" t="s">
        <v>849</v>
      </c>
      <c r="C1930" s="116" t="s">
        <v>902</v>
      </c>
      <c r="D1930" s="114" t="s">
        <v>903</v>
      </c>
      <c r="E1930" s="113" t="s">
        <v>890</v>
      </c>
      <c r="F1930" s="107"/>
      <c r="G1930" s="10"/>
      <c r="H1930" s="103">
        <v>2.06</v>
      </c>
      <c r="I1930" s="108">
        <f>Tableau3[[#This Row],[Stock final]]*Tableau3[[#This Row],[P.U.]]</f>
        <v>0</v>
      </c>
      <c r="J1930" s="184"/>
    </row>
    <row r="1931" spans="1:10" ht="19.350000000000001" customHeight="1">
      <c r="A1931" s="102"/>
      <c r="B1931" s="102" t="s">
        <v>849</v>
      </c>
      <c r="C1931" s="116" t="s">
        <v>904</v>
      </c>
      <c r="D1931" s="114" t="s">
        <v>964</v>
      </c>
      <c r="E1931" s="113" t="s">
        <v>890</v>
      </c>
      <c r="F1931" s="107"/>
      <c r="G1931" s="10"/>
      <c r="H1931" s="103">
        <v>2.06</v>
      </c>
      <c r="I1931" s="108">
        <f>Tableau3[[#This Row],[Stock final]]*Tableau3[[#This Row],[P.U.]]</f>
        <v>0</v>
      </c>
      <c r="J1931" s="184"/>
    </row>
    <row r="1932" spans="1:10" ht="19.350000000000001" customHeight="1">
      <c r="A1932" s="102"/>
      <c r="B1932" s="102" t="s">
        <v>849</v>
      </c>
      <c r="C1932" s="116" t="s">
        <v>905</v>
      </c>
      <c r="D1932" s="11" t="s">
        <v>343</v>
      </c>
      <c r="E1932" s="113" t="s">
        <v>879</v>
      </c>
      <c r="F1932" s="107"/>
      <c r="G1932" s="10"/>
      <c r="H1932" s="103">
        <v>3.42</v>
      </c>
      <c r="I1932" s="108">
        <f>Tableau3[[#This Row],[Stock final]]*Tableau3[[#This Row],[P.U.]]</f>
        <v>0</v>
      </c>
      <c r="J1932" s="184"/>
    </row>
    <row r="1933" spans="1:10" ht="19.350000000000001" customHeight="1">
      <c r="A1933" s="102"/>
      <c r="B1933" s="102" t="s">
        <v>849</v>
      </c>
      <c r="C1933" s="116" t="s">
        <v>906</v>
      </c>
      <c r="D1933" s="11" t="s">
        <v>962</v>
      </c>
      <c r="E1933" s="113" t="s">
        <v>879</v>
      </c>
      <c r="F1933" s="107"/>
      <c r="G1933" s="10"/>
      <c r="H1933" s="103">
        <v>6.93</v>
      </c>
      <c r="I1933" s="108">
        <f>Tableau3[[#This Row],[Stock final]]*Tableau3[[#This Row],[P.U.]]</f>
        <v>0</v>
      </c>
      <c r="J1933" s="184"/>
    </row>
    <row r="1934" spans="1:10" ht="19.350000000000001" customHeight="1">
      <c r="A1934" s="102"/>
      <c r="B1934" s="102" t="s">
        <v>849</v>
      </c>
      <c r="C1934" s="116" t="s">
        <v>907</v>
      </c>
      <c r="D1934" s="11" t="s">
        <v>963</v>
      </c>
      <c r="E1934" s="113" t="s">
        <v>879</v>
      </c>
      <c r="F1934" s="107"/>
      <c r="G1934" s="10"/>
      <c r="H1934" s="103">
        <v>6.93</v>
      </c>
      <c r="I1934" s="108">
        <f>Tableau3[[#This Row],[Stock final]]*Tableau3[[#This Row],[P.U.]]</f>
        <v>0</v>
      </c>
      <c r="J1934" s="184"/>
    </row>
    <row r="1935" spans="1:10" ht="19.350000000000001" customHeight="1">
      <c r="A1935" s="102"/>
      <c r="B1935" s="102" t="s">
        <v>849</v>
      </c>
      <c r="C1935" s="116" t="s">
        <v>908</v>
      </c>
      <c r="D1935" s="11" t="s">
        <v>913</v>
      </c>
      <c r="E1935" s="113" t="s">
        <v>879</v>
      </c>
      <c r="F1935" s="107"/>
      <c r="G1935" s="10"/>
      <c r="H1935" s="103">
        <v>10.39</v>
      </c>
      <c r="I1935" s="108">
        <f>Tableau3[[#This Row],[Stock final]]*Tableau3[[#This Row],[P.U.]]</f>
        <v>0</v>
      </c>
      <c r="J1935" s="184"/>
    </row>
    <row r="1936" spans="1:10" ht="19.350000000000001" customHeight="1">
      <c r="A1936" s="102"/>
      <c r="B1936" s="102" t="s">
        <v>849</v>
      </c>
      <c r="C1936" s="116" t="s">
        <v>909</v>
      </c>
      <c r="D1936" s="11" t="s">
        <v>343</v>
      </c>
      <c r="E1936" s="113" t="s">
        <v>890</v>
      </c>
      <c r="F1936" s="107"/>
      <c r="G1936" s="10">
        <v>40</v>
      </c>
      <c r="H1936" s="103">
        <v>1.31</v>
      </c>
      <c r="I1936" s="108">
        <f>Tableau3[[#This Row],[Stock final]]*Tableau3[[#This Row],[P.U.]]</f>
        <v>52.400000000000006</v>
      </c>
      <c r="J1936" s="184"/>
    </row>
    <row r="1937" spans="1:10" ht="19.350000000000001" customHeight="1">
      <c r="A1937" s="102"/>
      <c r="B1937" s="102" t="s">
        <v>849</v>
      </c>
      <c r="C1937" s="116" t="s">
        <v>910</v>
      </c>
      <c r="D1937" s="11" t="s">
        <v>962</v>
      </c>
      <c r="E1937" s="113" t="s">
        <v>890</v>
      </c>
      <c r="F1937" s="107"/>
      <c r="G1937" s="10">
        <v>36</v>
      </c>
      <c r="H1937" s="103">
        <v>2.6</v>
      </c>
      <c r="I1937" s="108">
        <f>Tableau3[[#This Row],[Stock final]]*Tableau3[[#This Row],[P.U.]]</f>
        <v>93.600000000000009</v>
      </c>
      <c r="J1937" s="184"/>
    </row>
    <row r="1938" spans="1:10" ht="19.350000000000001" customHeight="1">
      <c r="A1938" s="102"/>
      <c r="B1938" s="102" t="s">
        <v>849</v>
      </c>
      <c r="C1938" s="116" t="s">
        <v>911</v>
      </c>
      <c r="D1938" s="11" t="s">
        <v>916</v>
      </c>
      <c r="E1938" s="113" t="s">
        <v>890</v>
      </c>
      <c r="F1938" s="107"/>
      <c r="G1938" s="10">
        <v>12</v>
      </c>
      <c r="H1938" s="103">
        <v>2.6</v>
      </c>
      <c r="I1938" s="108">
        <f>Tableau3[[#This Row],[Stock final]]*Tableau3[[#This Row],[P.U.]]</f>
        <v>31.200000000000003</v>
      </c>
      <c r="J1938" s="184"/>
    </row>
    <row r="1939" spans="1:10" ht="19.350000000000001" customHeight="1">
      <c r="A1939" s="102"/>
      <c r="B1939" s="102" t="s">
        <v>849</v>
      </c>
      <c r="C1939" s="116" t="s">
        <v>912</v>
      </c>
      <c r="D1939" s="11" t="s">
        <v>913</v>
      </c>
      <c r="E1939" s="113" t="s">
        <v>890</v>
      </c>
      <c r="F1939" s="107"/>
      <c r="G1939" s="10">
        <v>7</v>
      </c>
      <c r="H1939" s="103">
        <v>4.8</v>
      </c>
      <c r="I1939" s="108">
        <f>Tableau3[[#This Row],[Stock final]]*Tableau3[[#This Row],[P.U.]]</f>
        <v>33.6</v>
      </c>
      <c r="J1939" s="184"/>
    </row>
    <row r="1940" spans="1:10" ht="19.350000000000001" customHeight="1">
      <c r="A1940" s="102"/>
      <c r="B1940" s="102" t="s">
        <v>849</v>
      </c>
      <c r="C1940" s="116" t="s">
        <v>914</v>
      </c>
      <c r="D1940" s="11" t="s">
        <v>915</v>
      </c>
      <c r="E1940" s="113" t="s">
        <v>890</v>
      </c>
      <c r="F1940" s="107"/>
      <c r="G1940" s="10">
        <v>3</v>
      </c>
      <c r="H1940" s="103">
        <v>6.4</v>
      </c>
      <c r="I1940" s="108">
        <f>Tableau3[[#This Row],[Stock final]]*Tableau3[[#This Row],[P.U.]]</f>
        <v>19.200000000000003</v>
      </c>
      <c r="J1940" s="184"/>
    </row>
    <row r="1941" spans="1:10" ht="19.350000000000001" customHeight="1">
      <c r="A1941" s="102"/>
      <c r="B1941" s="102" t="s">
        <v>849</v>
      </c>
      <c r="C1941" s="116" t="s">
        <v>1574</v>
      </c>
      <c r="D1941" s="11" t="s">
        <v>1434</v>
      </c>
      <c r="F1941" s="107"/>
      <c r="G1941" s="10">
        <v>26</v>
      </c>
      <c r="H1941" s="103">
        <v>0.95</v>
      </c>
      <c r="I1941" s="108">
        <f>Tableau3[[#This Row],[Stock final]]*Tableau3[[#This Row],[P.U.]]</f>
        <v>24.7</v>
      </c>
      <c r="J1941" s="184"/>
    </row>
    <row r="1942" spans="1:10" ht="19.350000000000001" customHeight="1">
      <c r="A1942" s="102"/>
      <c r="B1942" s="102" t="s">
        <v>849</v>
      </c>
      <c r="C1942" s="116" t="s">
        <v>1575</v>
      </c>
      <c r="D1942" s="11" t="s">
        <v>1435</v>
      </c>
      <c r="F1942" s="107"/>
      <c r="G1942" s="10">
        <v>3</v>
      </c>
      <c r="H1942" s="103">
        <v>2.58</v>
      </c>
      <c r="I1942" s="108">
        <f>Tableau3[[#This Row],[Stock final]]*Tableau3[[#This Row],[P.U.]]</f>
        <v>7.74</v>
      </c>
      <c r="J1942" s="184"/>
    </row>
    <row r="1943" spans="1:10" ht="19.350000000000001" customHeight="1">
      <c r="A1943" s="102"/>
      <c r="B1943" s="102" t="s">
        <v>15</v>
      </c>
      <c r="C1943" s="116" t="s">
        <v>1576</v>
      </c>
      <c r="D1943" s="11" t="s">
        <v>1436</v>
      </c>
      <c r="F1943" s="107"/>
      <c r="G1943" s="10">
        <v>5</v>
      </c>
      <c r="H1943" s="103">
        <v>5.0999999999999996</v>
      </c>
      <c r="I1943" s="108">
        <f>Tableau3[[#This Row],[Stock final]]*Tableau3[[#This Row],[P.U.]]</f>
        <v>25.5</v>
      </c>
      <c r="J1943" s="184"/>
    </row>
    <row r="1944" spans="1:10" ht="19.350000000000001" customHeight="1">
      <c r="A1944" s="102"/>
      <c r="B1944" s="102" t="s">
        <v>15</v>
      </c>
      <c r="C1944" s="116" t="s">
        <v>887</v>
      </c>
      <c r="D1944" s="11" t="s">
        <v>1437</v>
      </c>
      <c r="F1944" s="107"/>
      <c r="G1944" s="10">
        <v>10</v>
      </c>
      <c r="H1944" s="103">
        <v>2.62</v>
      </c>
      <c r="I1944" s="108">
        <f>Tableau3[[#This Row],[Stock final]]*Tableau3[[#This Row],[P.U.]]</f>
        <v>26.200000000000003</v>
      </c>
      <c r="J1944" s="184"/>
    </row>
    <row r="1945" spans="1:10" ht="19.350000000000001" customHeight="1">
      <c r="A1945" s="102"/>
      <c r="B1945" s="102"/>
      <c r="C1945" s="116"/>
      <c r="F1945" s="107"/>
      <c r="G1945" s="10"/>
      <c r="H1945" s="103"/>
      <c r="I1945" s="108">
        <f>Tableau3[[#This Row],[Stock final]]*Tableau3[[#This Row],[P.U.]]</f>
        <v>0</v>
      </c>
      <c r="J1945" s="184"/>
    </row>
    <row r="1946" spans="1:10" ht="19.350000000000001" customHeight="1">
      <c r="A1946" s="102"/>
      <c r="B1946" s="102"/>
      <c r="C1946" s="116"/>
      <c r="F1946" s="107"/>
      <c r="G1946" s="10"/>
      <c r="H1946" s="103"/>
      <c r="I1946" s="108">
        <f>Tableau3[[#This Row],[Stock final]]*Tableau3[[#This Row],[P.U.]]</f>
        <v>0</v>
      </c>
      <c r="J1946" s="184"/>
    </row>
    <row r="1947" spans="1:10" ht="19.350000000000001" customHeight="1">
      <c r="A1947" s="102"/>
      <c r="B1947" s="102"/>
      <c r="C1947" s="116"/>
      <c r="F1947" s="107"/>
      <c r="G1947" s="10"/>
      <c r="H1947" s="103"/>
      <c r="I1947" s="108">
        <f>Tableau3[[#This Row],[Stock final]]*Tableau3[[#This Row],[P.U.]]</f>
        <v>0</v>
      </c>
      <c r="J1947" s="184"/>
    </row>
    <row r="1948" spans="1:10" ht="19.350000000000001" customHeight="1">
      <c r="A1948" s="102"/>
      <c r="B1948" s="102"/>
      <c r="C1948" s="116"/>
      <c r="F1948" s="107"/>
      <c r="G1948" s="10"/>
      <c r="H1948" s="103"/>
      <c r="I1948" s="108">
        <f>Tableau3[[#This Row],[Stock final]]*Tableau3[[#This Row],[P.U.]]</f>
        <v>0</v>
      </c>
      <c r="J1948" s="184"/>
    </row>
    <row r="1949" spans="1:10" ht="19.350000000000001" customHeight="1">
      <c r="A1949" s="102"/>
      <c r="B1949" s="102"/>
      <c r="C1949" s="116"/>
      <c r="F1949" s="107"/>
      <c r="G1949" s="10"/>
      <c r="H1949" s="103"/>
      <c r="I1949" s="108">
        <f>Tableau3[[#This Row],[Stock final]]*Tableau3[[#This Row],[P.U.]]</f>
        <v>0</v>
      </c>
      <c r="J1949" s="184"/>
    </row>
    <row r="1950" spans="1:10" ht="19.350000000000001" customHeight="1">
      <c r="A1950" s="102"/>
      <c r="B1950" s="102"/>
      <c r="C1950" s="116"/>
      <c r="F1950" s="107"/>
      <c r="G1950" s="10"/>
      <c r="H1950" s="103"/>
      <c r="I1950" s="108">
        <f>Tableau3[[#This Row],[Stock final]]*Tableau3[[#This Row],[P.U.]]</f>
        <v>0</v>
      </c>
      <c r="J1950" s="184"/>
    </row>
    <row r="1951" spans="1:10" ht="19.350000000000001" customHeight="1">
      <c r="A1951" s="102"/>
      <c r="B1951" s="102"/>
      <c r="C1951" s="116"/>
      <c r="F1951" s="107"/>
      <c r="G1951" s="10"/>
      <c r="H1951" s="103"/>
      <c r="I1951" s="108">
        <f>Tableau3[[#This Row],[Stock final]]*Tableau3[[#This Row],[P.U.]]</f>
        <v>0</v>
      </c>
      <c r="J1951" s="184"/>
    </row>
    <row r="1952" spans="1:10" ht="19.350000000000001" customHeight="1">
      <c r="A1952" s="102"/>
      <c r="B1952" s="102"/>
      <c r="C1952" s="116"/>
      <c r="F1952" s="107"/>
      <c r="G1952" s="10"/>
      <c r="H1952" s="103"/>
      <c r="I1952" s="108">
        <f>Tableau3[[#This Row],[Stock final]]*Tableau3[[#This Row],[P.U.]]</f>
        <v>0</v>
      </c>
      <c r="J1952" s="184"/>
    </row>
    <row r="1953" spans="1:10" ht="19.350000000000001" customHeight="1">
      <c r="A1953" s="102"/>
      <c r="B1953" s="102"/>
      <c r="C1953" s="116"/>
      <c r="F1953" s="107"/>
      <c r="G1953" s="10"/>
      <c r="H1953" s="103"/>
      <c r="I1953" s="108">
        <f>Tableau3[[#This Row],[Stock final]]*Tableau3[[#This Row],[P.U.]]</f>
        <v>0</v>
      </c>
      <c r="J1953" s="184"/>
    </row>
    <row r="1954" spans="1:10" ht="19.350000000000001" customHeight="1">
      <c r="A1954" s="102"/>
      <c r="B1954" s="105" t="s">
        <v>917</v>
      </c>
      <c r="C1954" s="116" t="s">
        <v>918</v>
      </c>
      <c r="D1954" s="114" t="s">
        <v>919</v>
      </c>
      <c r="F1954" s="107"/>
      <c r="G1954" s="10"/>
      <c r="H1954" s="103">
        <v>4.7699999999999996</v>
      </c>
      <c r="I1954" s="108">
        <f>Tableau3[[#This Row],[Stock final]]*Tableau3[[#This Row],[P.U.]]</f>
        <v>0</v>
      </c>
      <c r="J1954" s="184"/>
    </row>
    <row r="1955" spans="1:10" ht="19.350000000000001" customHeight="1">
      <c r="A1955" s="102"/>
      <c r="B1955" s="102" t="s">
        <v>917</v>
      </c>
      <c r="C1955" s="116" t="s">
        <v>920</v>
      </c>
      <c r="D1955" s="114" t="s">
        <v>921</v>
      </c>
      <c r="F1955" s="107"/>
      <c r="G1955" s="10"/>
      <c r="H1955" s="103">
        <v>3.52</v>
      </c>
      <c r="I1955" s="108">
        <f>Tableau3[[#This Row],[Stock final]]*Tableau3[[#This Row],[P.U.]]</f>
        <v>0</v>
      </c>
      <c r="J1955" s="184"/>
    </row>
    <row r="1956" spans="1:10" ht="19.350000000000001" customHeight="1">
      <c r="A1956" s="102"/>
      <c r="B1956" s="102" t="s">
        <v>917</v>
      </c>
      <c r="C1956" s="116" t="s">
        <v>922</v>
      </c>
      <c r="D1956" s="114" t="s">
        <v>923</v>
      </c>
      <c r="F1956" s="107"/>
      <c r="G1956" s="10"/>
      <c r="H1956" s="103">
        <v>6.92</v>
      </c>
      <c r="I1956" s="108">
        <f>Tableau3[[#This Row],[Stock final]]*Tableau3[[#This Row],[P.U.]]</f>
        <v>0</v>
      </c>
      <c r="J1956" s="184"/>
    </row>
    <row r="1957" spans="1:10" ht="19.350000000000001" customHeight="1">
      <c r="A1957" s="102"/>
      <c r="B1957" s="178" t="s">
        <v>917</v>
      </c>
      <c r="C1957" s="116" t="s">
        <v>924</v>
      </c>
      <c r="D1957" s="114" t="s">
        <v>925</v>
      </c>
      <c r="E1957" s="113" t="s">
        <v>926</v>
      </c>
      <c r="F1957" s="107"/>
      <c r="G1957" s="10"/>
      <c r="H1957" s="179">
        <v>3.98</v>
      </c>
      <c r="I1957" s="108">
        <f>Tableau3[[#This Row],[Stock final]]*Tableau3[[#This Row],[P.U.]]</f>
        <v>0</v>
      </c>
      <c r="J1957" s="184"/>
    </row>
    <row r="1958" spans="1:10" ht="19.350000000000001" customHeight="1">
      <c r="A1958" s="102"/>
      <c r="B1958" s="102" t="s">
        <v>917</v>
      </c>
      <c r="C1958" s="116" t="s">
        <v>927</v>
      </c>
      <c r="D1958" s="114" t="s">
        <v>928</v>
      </c>
      <c r="E1958" s="113" t="s">
        <v>926</v>
      </c>
      <c r="F1958" s="107"/>
      <c r="G1958" s="10"/>
      <c r="H1958" s="103">
        <v>2.52</v>
      </c>
      <c r="I1958" s="108">
        <f>Tableau3[[#This Row],[Stock final]]*Tableau3[[#This Row],[P.U.]]</f>
        <v>0</v>
      </c>
      <c r="J1958" s="184"/>
    </row>
    <row r="1959" spans="1:10" ht="19.350000000000001" customHeight="1">
      <c r="A1959" s="102"/>
      <c r="B1959" s="102" t="s">
        <v>917</v>
      </c>
      <c r="C1959" s="116" t="s">
        <v>929</v>
      </c>
      <c r="D1959" s="114" t="s">
        <v>930</v>
      </c>
      <c r="E1959" s="113" t="s">
        <v>926</v>
      </c>
      <c r="F1959" s="107"/>
      <c r="G1959" s="10"/>
      <c r="H1959" s="103">
        <v>3.98</v>
      </c>
      <c r="I1959" s="108">
        <f>Tableau3[[#This Row],[Stock final]]*Tableau3[[#This Row],[P.U.]]</f>
        <v>0</v>
      </c>
      <c r="J1959" s="184"/>
    </row>
    <row r="1960" spans="1:10" ht="19.350000000000001" customHeight="1">
      <c r="A1960" s="102"/>
      <c r="B1960" s="102" t="s">
        <v>917</v>
      </c>
      <c r="C1960" s="116" t="s">
        <v>931</v>
      </c>
      <c r="D1960" s="114" t="s">
        <v>932</v>
      </c>
      <c r="E1960" s="113" t="s">
        <v>926</v>
      </c>
      <c r="F1960" s="107"/>
      <c r="G1960" s="10"/>
      <c r="H1960" s="103">
        <v>2.48</v>
      </c>
      <c r="I1960" s="108">
        <f>Tableau3[[#This Row],[Stock final]]*Tableau3[[#This Row],[P.U.]]</f>
        <v>0</v>
      </c>
      <c r="J1960" s="184"/>
    </row>
    <row r="1961" spans="1:10" ht="19.350000000000001" customHeight="1">
      <c r="A1961" s="102"/>
      <c r="B1961" s="102" t="s">
        <v>917</v>
      </c>
      <c r="C1961" s="116" t="s">
        <v>933</v>
      </c>
      <c r="D1961" s="114" t="s">
        <v>934</v>
      </c>
      <c r="E1961" s="113" t="s">
        <v>926</v>
      </c>
      <c r="F1961" s="107"/>
      <c r="G1961" s="10"/>
      <c r="H1961" s="103">
        <v>4.1500000000000004</v>
      </c>
      <c r="I1961" s="108">
        <f>Tableau3[[#This Row],[Stock final]]*Tableau3[[#This Row],[P.U.]]</f>
        <v>0</v>
      </c>
      <c r="J1961" s="184"/>
    </row>
    <row r="1962" spans="1:10" ht="19.350000000000001" customHeight="1">
      <c r="A1962" s="102"/>
      <c r="B1962" s="102" t="s">
        <v>917</v>
      </c>
      <c r="C1962" s="116" t="s">
        <v>935</v>
      </c>
      <c r="D1962" s="114" t="s">
        <v>936</v>
      </c>
      <c r="E1962" s="113" t="s">
        <v>937</v>
      </c>
      <c r="F1962" s="107"/>
      <c r="G1962" s="10"/>
      <c r="H1962" s="103">
        <v>0</v>
      </c>
      <c r="I1962" s="108">
        <f>Tableau3[[#This Row],[Stock final]]*Tableau3[[#This Row],[P.U.]]</f>
        <v>0</v>
      </c>
      <c r="J1962" s="184"/>
    </row>
    <row r="1963" spans="1:10" ht="19.350000000000001" customHeight="1">
      <c r="A1963" s="102"/>
      <c r="B1963" s="102" t="s">
        <v>917</v>
      </c>
      <c r="C1963" s="116" t="s">
        <v>938</v>
      </c>
      <c r="D1963" s="114" t="s">
        <v>939</v>
      </c>
      <c r="E1963" s="113" t="s">
        <v>937</v>
      </c>
      <c r="F1963" s="107"/>
      <c r="G1963" s="10"/>
      <c r="H1963" s="103">
        <v>12.42</v>
      </c>
      <c r="I1963" s="108">
        <f>Tableau3[[#This Row],[Stock final]]*Tableau3[[#This Row],[P.U.]]</f>
        <v>0</v>
      </c>
      <c r="J1963" s="184"/>
    </row>
    <row r="1964" spans="1:10" ht="19.350000000000001" customHeight="1">
      <c r="A1964" s="102"/>
      <c r="B1964" s="102" t="s">
        <v>917</v>
      </c>
      <c r="C1964" s="116" t="s">
        <v>940</v>
      </c>
      <c r="D1964" s="114" t="s">
        <v>941</v>
      </c>
      <c r="E1964" s="113" t="s">
        <v>942</v>
      </c>
      <c r="F1964" s="107"/>
      <c r="G1964" s="10"/>
      <c r="H1964" s="103">
        <v>1.51</v>
      </c>
      <c r="I1964" s="108">
        <f>Tableau3[[#This Row],[Stock final]]*Tableau3[[#This Row],[P.U.]]</f>
        <v>0</v>
      </c>
      <c r="J1964" s="184"/>
    </row>
    <row r="1965" spans="1:10" ht="19.350000000000001" customHeight="1">
      <c r="A1965" s="102"/>
      <c r="B1965" s="102" t="s">
        <v>917</v>
      </c>
      <c r="C1965" s="116" t="s">
        <v>943</v>
      </c>
      <c r="D1965" s="114" t="s">
        <v>944</v>
      </c>
      <c r="E1965" s="113" t="s">
        <v>945</v>
      </c>
      <c r="F1965" s="107"/>
      <c r="G1965" s="10"/>
      <c r="H1965" s="103">
        <v>0.96</v>
      </c>
      <c r="I1965" s="108">
        <f>Tableau3[[#This Row],[Stock final]]*Tableau3[[#This Row],[P.U.]]</f>
        <v>0</v>
      </c>
      <c r="J1965" s="184"/>
    </row>
    <row r="1966" spans="1:10" ht="19.350000000000001" customHeight="1">
      <c r="A1966" s="102"/>
      <c r="B1966" s="102" t="s">
        <v>917</v>
      </c>
      <c r="C1966" s="116" t="s">
        <v>946</v>
      </c>
      <c r="D1966" s="114" t="s">
        <v>947</v>
      </c>
      <c r="E1966" s="113" t="s">
        <v>945</v>
      </c>
      <c r="F1966" s="107"/>
      <c r="G1966" s="10"/>
      <c r="H1966" s="103">
        <v>0</v>
      </c>
      <c r="I1966" s="108">
        <f>Tableau3[[#This Row],[Stock final]]*Tableau3[[#This Row],[P.U.]]</f>
        <v>0</v>
      </c>
      <c r="J1966" s="184"/>
    </row>
    <row r="1967" spans="1:10" ht="19.350000000000001" customHeight="1">
      <c r="A1967" s="102"/>
      <c r="B1967" s="102" t="s">
        <v>917</v>
      </c>
      <c r="C1967" s="116" t="s">
        <v>948</v>
      </c>
      <c r="D1967" s="114" t="s">
        <v>949</v>
      </c>
      <c r="E1967" s="113" t="s">
        <v>950</v>
      </c>
      <c r="F1967" s="107"/>
      <c r="G1967" s="10"/>
      <c r="H1967" s="103">
        <v>8.3699999999999992</v>
      </c>
      <c r="I1967" s="108">
        <f>Tableau3[[#This Row],[Stock final]]*Tableau3[[#This Row],[P.U.]]</f>
        <v>0</v>
      </c>
      <c r="J1967" s="184"/>
    </row>
    <row r="1968" spans="1:10" ht="19.350000000000001" customHeight="1">
      <c r="A1968" s="102"/>
      <c r="B1968" s="102" t="s">
        <v>917</v>
      </c>
      <c r="C1968" s="116" t="s">
        <v>951</v>
      </c>
      <c r="D1968" s="114" t="s">
        <v>952</v>
      </c>
      <c r="E1968" s="113" t="s">
        <v>950</v>
      </c>
      <c r="F1968" s="107"/>
      <c r="G1968" s="10"/>
      <c r="H1968" s="103">
        <v>0</v>
      </c>
      <c r="I1968" s="108">
        <f>Tableau3[[#This Row],[Stock final]]*Tableau3[[#This Row],[P.U.]]</f>
        <v>0</v>
      </c>
      <c r="J1968" s="184"/>
    </row>
    <row r="1969" spans="1:10" ht="19.350000000000001" customHeight="1">
      <c r="A1969" s="102"/>
      <c r="B1969" s="102" t="s">
        <v>917</v>
      </c>
      <c r="C1969" s="116" t="s">
        <v>953</v>
      </c>
      <c r="D1969" s="114" t="s">
        <v>954</v>
      </c>
      <c r="E1969" s="113" t="s">
        <v>950</v>
      </c>
      <c r="F1969" s="107"/>
      <c r="G1969" s="10"/>
      <c r="H1969" s="103">
        <v>0</v>
      </c>
      <c r="I1969" s="108">
        <f>Tableau3[[#This Row],[Stock final]]*Tableau3[[#This Row],[P.U.]]</f>
        <v>0</v>
      </c>
      <c r="J1969" s="184"/>
    </row>
    <row r="1970" spans="1:10" ht="19.350000000000001" customHeight="1">
      <c r="A1970" s="102"/>
      <c r="B1970" s="102" t="s">
        <v>917</v>
      </c>
      <c r="C1970" s="116" t="s">
        <v>955</v>
      </c>
      <c r="D1970" s="114" t="s">
        <v>956</v>
      </c>
      <c r="E1970" s="113" t="s">
        <v>950</v>
      </c>
      <c r="F1970" s="107"/>
      <c r="G1970" s="10"/>
      <c r="H1970" s="103">
        <v>14.74</v>
      </c>
      <c r="I1970" s="108">
        <f>Tableau3[[#This Row],[Stock final]]*Tableau3[[#This Row],[P.U.]]</f>
        <v>0</v>
      </c>
      <c r="J1970" s="184"/>
    </row>
    <row r="1971" spans="1:10" ht="19.350000000000001" customHeight="1">
      <c r="A1971" s="102"/>
      <c r="B1971" s="102" t="s">
        <v>917</v>
      </c>
      <c r="C1971" s="116" t="s">
        <v>957</v>
      </c>
      <c r="D1971" s="114" t="s">
        <v>958</v>
      </c>
      <c r="E1971" s="113" t="s">
        <v>959</v>
      </c>
      <c r="F1971" s="107"/>
      <c r="G1971" s="10"/>
      <c r="H1971" s="103">
        <v>50.52</v>
      </c>
      <c r="I1971" s="108">
        <f>Tableau3[[#This Row],[Stock final]]*Tableau3[[#This Row],[P.U.]]</f>
        <v>0</v>
      </c>
      <c r="J1971" s="184"/>
    </row>
    <row r="1972" spans="1:10" ht="19.350000000000001" customHeight="1">
      <c r="A1972" s="102"/>
      <c r="B1972" s="102" t="s">
        <v>917</v>
      </c>
      <c r="C1972" s="116" t="s">
        <v>960</v>
      </c>
      <c r="D1972" s="114" t="s">
        <v>961</v>
      </c>
      <c r="E1972" s="113" t="s">
        <v>959</v>
      </c>
      <c r="F1972" s="107"/>
      <c r="G1972" s="10"/>
      <c r="H1972" s="103"/>
      <c r="I1972" s="108">
        <f>Tableau3[[#This Row],[Stock final]]*Tableau3[[#This Row],[P.U.]]</f>
        <v>0</v>
      </c>
      <c r="J1972" s="184"/>
    </row>
    <row r="1973" spans="1:10" ht="19.350000000000001" customHeight="1">
      <c r="A1973" s="102"/>
      <c r="B1973" s="102"/>
      <c r="C1973" s="116"/>
      <c r="F1973" s="107"/>
      <c r="G1973" s="10"/>
      <c r="H1973" s="103"/>
      <c r="I1973" s="108">
        <f>Tableau3[[#This Row],[Stock final]]*Tableau3[[#This Row],[P.U.]]</f>
        <v>0</v>
      </c>
      <c r="J1973" s="184"/>
    </row>
    <row r="1974" spans="1:10" ht="19.350000000000001" customHeight="1">
      <c r="A1974" s="102"/>
      <c r="B1974" s="102"/>
      <c r="C1974" s="116"/>
      <c r="F1974" s="107"/>
      <c r="G1974" s="10"/>
      <c r="H1974" s="103"/>
      <c r="I1974" s="108">
        <f>Tableau3[[#This Row],[Stock final]]*Tableau3[[#This Row],[P.U.]]</f>
        <v>0</v>
      </c>
      <c r="J1974" s="184"/>
    </row>
    <row r="1975" spans="1:10" ht="19.350000000000001" customHeight="1">
      <c r="A1975" s="102"/>
      <c r="B1975" s="102"/>
      <c r="C1975" s="116"/>
      <c r="F1975" s="107"/>
      <c r="G1975" s="10"/>
      <c r="H1975" s="103"/>
      <c r="I1975" s="108">
        <f>Tableau3[[#This Row],[Stock final]]*Tableau3[[#This Row],[P.U.]]</f>
        <v>0</v>
      </c>
      <c r="J1975" s="184"/>
    </row>
    <row r="1976" spans="1:10" ht="19.350000000000001" customHeight="1">
      <c r="A1976" s="102"/>
      <c r="B1976" s="102"/>
      <c r="C1976" s="116"/>
      <c r="F1976" s="107"/>
      <c r="G1976" s="10"/>
      <c r="H1976" s="103"/>
      <c r="I1976" s="108">
        <f>Tableau3[[#This Row],[Stock final]]*Tableau3[[#This Row],[P.U.]]</f>
        <v>0</v>
      </c>
      <c r="J1976" s="184"/>
    </row>
    <row r="1977" spans="1:10" ht="19.350000000000001" customHeight="1">
      <c r="A1977" s="102"/>
      <c r="B1977" s="102"/>
      <c r="C1977" s="116"/>
      <c r="F1977" s="107"/>
      <c r="G1977" s="10"/>
      <c r="H1977" s="103"/>
      <c r="I1977" s="108">
        <f>Tableau3[[#This Row],[Stock final]]*Tableau3[[#This Row],[P.U.]]</f>
        <v>0</v>
      </c>
      <c r="J1977" s="184"/>
    </row>
    <row r="1978" spans="1:10" ht="19.350000000000001" customHeight="1">
      <c r="A1978" s="102"/>
      <c r="B1978" s="102"/>
      <c r="C1978" s="116"/>
      <c r="F1978" s="107"/>
      <c r="G1978" s="10"/>
      <c r="H1978" s="103"/>
      <c r="I1978" s="108">
        <f>Tableau3[[#This Row],[Stock final]]*Tableau3[[#This Row],[P.U.]]</f>
        <v>0</v>
      </c>
      <c r="J1978" s="184"/>
    </row>
    <row r="1979" spans="1:10" ht="19.350000000000001" customHeight="1">
      <c r="A1979" s="102"/>
      <c r="B1979" s="102"/>
      <c r="C1979" s="116"/>
      <c r="F1979" s="107"/>
      <c r="G1979" s="10"/>
      <c r="H1979" s="103"/>
      <c r="I1979" s="108">
        <f>Tableau3[[#This Row],[Stock final]]*Tableau3[[#This Row],[P.U.]]</f>
        <v>0</v>
      </c>
      <c r="J1979" s="184"/>
    </row>
    <row r="1980" spans="1:10" ht="19.350000000000001" customHeight="1">
      <c r="A1980" s="102"/>
      <c r="B1980" s="102"/>
      <c r="C1980" s="116"/>
      <c r="F1980" s="107"/>
      <c r="G1980" s="10"/>
      <c r="H1980" s="103"/>
      <c r="I1980" s="108">
        <f>Tableau3[[#This Row],[Stock final]]*Tableau3[[#This Row],[P.U.]]</f>
        <v>0</v>
      </c>
      <c r="J1980" s="184"/>
    </row>
    <row r="1981" spans="1:10" ht="19.350000000000001" customHeight="1">
      <c r="A1981" s="102"/>
      <c r="B1981" s="102"/>
      <c r="C1981" s="116"/>
      <c r="F1981" s="107"/>
      <c r="G1981" s="10"/>
      <c r="H1981" s="103"/>
      <c r="I1981" s="108">
        <f>Tableau3[[#This Row],[Stock final]]*Tableau3[[#This Row],[P.U.]]</f>
        <v>0</v>
      </c>
      <c r="J1981" s="184"/>
    </row>
    <row r="1982" spans="1:10" ht="19.350000000000001" customHeight="1">
      <c r="A1982" s="102"/>
      <c r="B1982" s="102"/>
      <c r="C1982" s="116"/>
      <c r="F1982" s="107"/>
      <c r="G1982" s="10"/>
      <c r="H1982" s="103"/>
      <c r="I1982" s="108">
        <f>Tableau3[[#This Row],[Stock final]]*Tableau3[[#This Row],[P.U.]]</f>
        <v>0</v>
      </c>
      <c r="J1982" s="184"/>
    </row>
    <row r="1983" spans="1:10" ht="19.350000000000001" customHeight="1">
      <c r="A1983" s="102"/>
      <c r="B1983" s="102"/>
      <c r="C1983" s="116"/>
      <c r="F1983" s="107"/>
      <c r="G1983" s="10"/>
      <c r="H1983" s="103"/>
      <c r="I1983" s="108">
        <f>Tableau3[[#This Row],[Stock final]]*Tableau3[[#This Row],[P.U.]]</f>
        <v>0</v>
      </c>
      <c r="J1983" s="184"/>
    </row>
    <row r="1984" spans="1:10" ht="19.350000000000001" customHeight="1">
      <c r="A1984" s="102"/>
      <c r="B1984" s="102"/>
      <c r="C1984" s="116"/>
      <c r="F1984" s="107"/>
      <c r="G1984" s="10"/>
      <c r="H1984" s="103"/>
      <c r="I1984" s="108">
        <f>Tableau3[[#This Row],[Stock final]]*Tableau3[[#This Row],[P.U.]]</f>
        <v>0</v>
      </c>
      <c r="J1984" s="184"/>
    </row>
    <row r="1985" spans="1:10" ht="19.350000000000001" customHeight="1">
      <c r="A1985" s="102"/>
      <c r="B1985" s="102"/>
      <c r="C1985" s="116"/>
      <c r="F1985" s="107"/>
      <c r="G1985" s="10"/>
      <c r="H1985" s="103"/>
      <c r="I1985" s="108">
        <f>Tableau3[[#This Row],[Stock final]]*Tableau3[[#This Row],[P.U.]]</f>
        <v>0</v>
      </c>
      <c r="J1985" s="184"/>
    </row>
    <row r="1986" spans="1:10" ht="19.350000000000001" customHeight="1">
      <c r="A1986" s="102"/>
      <c r="B1986" s="102"/>
      <c r="C1986" s="116"/>
      <c r="F1986" s="107"/>
      <c r="G1986" s="10"/>
      <c r="H1986" s="103"/>
      <c r="I1986" s="108">
        <f>Tableau3[[#This Row],[Stock final]]*Tableau3[[#This Row],[P.U.]]</f>
        <v>0</v>
      </c>
      <c r="J1986" s="184"/>
    </row>
    <row r="1987" spans="1:10" ht="19.350000000000001" customHeight="1">
      <c r="A1987" s="102"/>
      <c r="B1987" s="102"/>
      <c r="C1987" s="116"/>
      <c r="F1987" s="107"/>
      <c r="G1987" s="10"/>
      <c r="H1987" s="103"/>
      <c r="I1987" s="108">
        <f>Tableau3[[#This Row],[Stock final]]*Tableau3[[#This Row],[P.U.]]</f>
        <v>0</v>
      </c>
      <c r="J1987" s="184"/>
    </row>
    <row r="1988" spans="1:10" ht="19.350000000000001" customHeight="1">
      <c r="A1988" s="102"/>
      <c r="B1988" s="102"/>
      <c r="C1988" s="116"/>
      <c r="F1988" s="107"/>
      <c r="G1988" s="10"/>
      <c r="H1988" s="103"/>
      <c r="I1988" s="108">
        <f>Tableau3[[#This Row],[Stock final]]*Tableau3[[#This Row],[P.U.]]</f>
        <v>0</v>
      </c>
      <c r="J1988" s="184"/>
    </row>
    <row r="1989" spans="1:10" ht="19.350000000000001" customHeight="1">
      <c r="A1989" s="102"/>
      <c r="B1989" s="102"/>
      <c r="C1989" s="116"/>
      <c r="F1989" s="107"/>
      <c r="G1989" s="10"/>
      <c r="H1989" s="103"/>
      <c r="I1989" s="108">
        <f>Tableau3[[#This Row],[Stock final]]*Tableau3[[#This Row],[P.U.]]</f>
        <v>0</v>
      </c>
      <c r="J1989" s="184"/>
    </row>
    <row r="1990" spans="1:10" ht="19.350000000000001" customHeight="1">
      <c r="A1990" s="102"/>
      <c r="B1990" s="102"/>
      <c r="C1990" s="116"/>
      <c r="F1990" s="107"/>
      <c r="G1990" s="10"/>
      <c r="H1990" s="103"/>
      <c r="I1990" s="108">
        <f>Tableau3[[#This Row],[Stock final]]*Tableau3[[#This Row],[P.U.]]</f>
        <v>0</v>
      </c>
      <c r="J1990" s="184"/>
    </row>
    <row r="1991" spans="1:10" ht="19.350000000000001" customHeight="1">
      <c r="A1991" s="102"/>
      <c r="B1991" s="102"/>
      <c r="C1991" s="116"/>
      <c r="F1991" s="107"/>
      <c r="G1991" s="10"/>
      <c r="H1991" s="103"/>
      <c r="I1991" s="108">
        <f>Tableau3[[#This Row],[Stock final]]*Tableau3[[#This Row],[P.U.]]</f>
        <v>0</v>
      </c>
      <c r="J1991" s="184"/>
    </row>
    <row r="1992" spans="1:10" ht="19.350000000000001" customHeight="1">
      <c r="A1992" s="102"/>
      <c r="B1992" s="102"/>
      <c r="C1992" s="116"/>
      <c r="F1992" s="107"/>
      <c r="G1992" s="10"/>
      <c r="H1992" s="103"/>
      <c r="I1992" s="108">
        <f>Tableau3[[#This Row],[Stock final]]*Tableau3[[#This Row],[P.U.]]</f>
        <v>0</v>
      </c>
      <c r="J1992" s="184"/>
    </row>
    <row r="1993" spans="1:10" ht="19.350000000000001" customHeight="1">
      <c r="A1993" s="102"/>
      <c r="B1993" s="102"/>
      <c r="C1993" s="116"/>
      <c r="F1993" s="107"/>
      <c r="G1993" s="10"/>
      <c r="H1993" s="103"/>
      <c r="I1993" s="108">
        <f>Tableau3[[#This Row],[Stock final]]*Tableau3[[#This Row],[P.U.]]</f>
        <v>0</v>
      </c>
      <c r="J1993" s="184"/>
    </row>
    <row r="1994" spans="1:10" ht="19.350000000000001" customHeight="1">
      <c r="A1994" s="102"/>
      <c r="B1994" s="102"/>
      <c r="C1994" s="116"/>
      <c r="F1994" s="107"/>
      <c r="G1994" s="10"/>
      <c r="H1994" s="103"/>
      <c r="I1994" s="108">
        <f>Tableau3[[#This Row],[Stock final]]*Tableau3[[#This Row],[P.U.]]</f>
        <v>0</v>
      </c>
      <c r="J1994" s="184"/>
    </row>
    <row r="1995" spans="1:10" ht="19.350000000000001" customHeight="1">
      <c r="A1995" s="102"/>
      <c r="B1995" s="102"/>
      <c r="C1995" s="116"/>
      <c r="F1995" s="107"/>
      <c r="G1995" s="10"/>
      <c r="H1995" s="103"/>
      <c r="I1995" s="108">
        <f>Tableau3[[#This Row],[Stock final]]*Tableau3[[#This Row],[P.U.]]</f>
        <v>0</v>
      </c>
      <c r="J1995" s="184"/>
    </row>
    <row r="1996" spans="1:10" ht="19.350000000000001" customHeight="1">
      <c r="A1996" s="102"/>
      <c r="B1996" s="102"/>
      <c r="C1996" s="116"/>
      <c r="F1996" s="107"/>
      <c r="G1996" s="10"/>
      <c r="H1996" s="103"/>
      <c r="I1996" s="108">
        <f>Tableau3[[#This Row],[Stock final]]*Tableau3[[#This Row],[P.U.]]</f>
        <v>0</v>
      </c>
      <c r="J1996" s="184"/>
    </row>
    <row r="1997" spans="1:10" ht="19.350000000000001" customHeight="1">
      <c r="A1997" s="102"/>
      <c r="B1997" s="102"/>
      <c r="C1997" s="116"/>
      <c r="F1997" s="107"/>
      <c r="G1997" s="10"/>
      <c r="H1997" s="103"/>
      <c r="I1997" s="108">
        <f>Tableau3[[#This Row],[Stock final]]*Tableau3[[#This Row],[P.U.]]</f>
        <v>0</v>
      </c>
      <c r="J1997" s="184"/>
    </row>
    <row r="1998" spans="1:10" ht="19.350000000000001" customHeight="1">
      <c r="A1998" s="102"/>
      <c r="B1998" s="102"/>
      <c r="C1998" s="116"/>
      <c r="F1998" s="107"/>
      <c r="G1998" s="10"/>
      <c r="H1998" s="103"/>
      <c r="I1998" s="108">
        <f>Tableau3[[#This Row],[Stock final]]*Tableau3[[#This Row],[P.U.]]</f>
        <v>0</v>
      </c>
      <c r="J1998" s="184"/>
    </row>
    <row r="1999" spans="1:10" ht="19.350000000000001" customHeight="1">
      <c r="A1999" s="102"/>
      <c r="B1999" s="102"/>
      <c r="C1999" s="116"/>
      <c r="F1999" s="107"/>
      <c r="G1999" s="10"/>
      <c r="H1999" s="103"/>
      <c r="I1999" s="108">
        <f>Tableau3[[#This Row],[Stock final]]*Tableau3[[#This Row],[P.U.]]</f>
        <v>0</v>
      </c>
      <c r="J1999" s="184"/>
    </row>
    <row r="2000" spans="1:10" ht="19.350000000000001" customHeight="1">
      <c r="A2000" s="102"/>
      <c r="B2000" s="102"/>
      <c r="C2000" s="116"/>
      <c r="F2000" s="107"/>
      <c r="G2000" s="10"/>
      <c r="H2000" s="103"/>
      <c r="I2000" s="108">
        <f>Tableau3[[#This Row],[Stock final]]*Tableau3[[#This Row],[P.U.]]</f>
        <v>0</v>
      </c>
      <c r="J2000" s="184"/>
    </row>
    <row r="2001" spans="1:10" ht="19.350000000000001" customHeight="1">
      <c r="A2001" s="102"/>
      <c r="B2001" s="102"/>
      <c r="C2001" s="116"/>
      <c r="F2001" s="107"/>
      <c r="G2001" s="10"/>
      <c r="H2001" s="103"/>
      <c r="I2001" s="108">
        <f>Tableau3[[#This Row],[Stock final]]*Tableau3[[#This Row],[P.U.]]</f>
        <v>0</v>
      </c>
      <c r="J2001" s="184"/>
    </row>
    <row r="2002" spans="1:10" ht="19.350000000000001" customHeight="1">
      <c r="A2002" s="102"/>
      <c r="B2002" s="102"/>
      <c r="C2002" s="116"/>
      <c r="F2002" s="107"/>
      <c r="G2002" s="10"/>
      <c r="H2002" s="103"/>
      <c r="I2002" s="108">
        <f>Tableau3[[#This Row],[Stock final]]*Tableau3[[#This Row],[P.U.]]</f>
        <v>0</v>
      </c>
      <c r="J2002" s="184"/>
    </row>
    <row r="2003" spans="1:10" ht="19.350000000000001" customHeight="1">
      <c r="A2003" s="102"/>
      <c r="B2003" s="102"/>
      <c r="C2003" s="116"/>
      <c r="F2003" s="107"/>
      <c r="G2003" s="10"/>
      <c r="H2003" s="103"/>
      <c r="I2003" s="108">
        <f>Tableau3[[#This Row],[Stock final]]*Tableau3[[#This Row],[P.U.]]</f>
        <v>0</v>
      </c>
      <c r="J2003" s="184"/>
    </row>
    <row r="2004" spans="1:10" ht="19.350000000000001" customHeight="1">
      <c r="A2004" s="102"/>
      <c r="B2004" s="102"/>
      <c r="C2004" s="116"/>
      <c r="F2004" s="107"/>
      <c r="G2004" s="10"/>
      <c r="H2004" s="103"/>
      <c r="I2004" s="108">
        <f>Tableau3[[#This Row],[Stock final]]*Tableau3[[#This Row],[P.U.]]</f>
        <v>0</v>
      </c>
      <c r="J2004" s="184"/>
    </row>
    <row r="2005" spans="1:10" ht="19.350000000000001" customHeight="1">
      <c r="A2005" s="102"/>
      <c r="B2005" s="102"/>
      <c r="C2005" s="116"/>
      <c r="F2005" s="107"/>
      <c r="G2005" s="10"/>
      <c r="H2005" s="103"/>
      <c r="I2005" s="108">
        <f>Tableau3[[#This Row],[Stock final]]*Tableau3[[#This Row],[P.U.]]</f>
        <v>0</v>
      </c>
      <c r="J2005" s="184"/>
    </row>
    <row r="2006" spans="1:10" ht="19.350000000000001" customHeight="1">
      <c r="A2006" s="102"/>
      <c r="B2006" s="102"/>
      <c r="C2006" s="116"/>
      <c r="F2006" s="107"/>
      <c r="G2006" s="10"/>
      <c r="H2006" s="103"/>
      <c r="I2006" s="108">
        <f>Tableau3[[#This Row],[Stock final]]*Tableau3[[#This Row],[P.U.]]</f>
        <v>0</v>
      </c>
      <c r="J2006" s="184"/>
    </row>
    <row r="2007" spans="1:10" ht="19.350000000000001" customHeight="1">
      <c r="A2007" s="102"/>
      <c r="B2007" s="102"/>
      <c r="C2007" s="116"/>
      <c r="F2007" s="107"/>
      <c r="G2007" s="10"/>
      <c r="H2007" s="103"/>
      <c r="I2007" s="108">
        <f>Tableau3[[#This Row],[Stock final]]*Tableau3[[#This Row],[P.U.]]</f>
        <v>0</v>
      </c>
      <c r="J2007" s="184"/>
    </row>
    <row r="2008" spans="1:10" ht="19.350000000000001" customHeight="1">
      <c r="A2008" s="102"/>
      <c r="B2008" s="102"/>
      <c r="C2008" s="116"/>
      <c r="F2008" s="107"/>
      <c r="G2008" s="10"/>
      <c r="H2008" s="103"/>
      <c r="I2008" s="108">
        <f>Tableau3[[#This Row],[Stock final]]*Tableau3[[#This Row],[P.U.]]</f>
        <v>0</v>
      </c>
      <c r="J2008" s="184"/>
    </row>
    <row r="2009" spans="1:10" ht="19.350000000000001" customHeight="1">
      <c r="A2009" s="102"/>
      <c r="B2009" s="102"/>
      <c r="C2009" s="116"/>
      <c r="F2009" s="107"/>
      <c r="G2009" s="10"/>
      <c r="H2009" s="103"/>
      <c r="I2009" s="108">
        <f>Tableau3[[#This Row],[Stock final]]*Tableau3[[#This Row],[P.U.]]</f>
        <v>0</v>
      </c>
      <c r="J2009" s="184"/>
    </row>
    <row r="2010" spans="1:10" ht="19.350000000000001" customHeight="1">
      <c r="A2010" s="102"/>
      <c r="B2010" s="102"/>
      <c r="C2010" s="116"/>
      <c r="F2010" s="107"/>
      <c r="G2010" s="10"/>
      <c r="H2010" s="103"/>
      <c r="I2010" s="108">
        <f>Tableau3[[#This Row],[Stock final]]*Tableau3[[#This Row],[P.U.]]</f>
        <v>0</v>
      </c>
      <c r="J2010" s="184"/>
    </row>
    <row r="2011" spans="1:10" ht="19.350000000000001" customHeight="1">
      <c r="A2011" s="102"/>
      <c r="B2011" s="102"/>
      <c r="C2011" s="116"/>
      <c r="F2011" s="107"/>
      <c r="G2011" s="10"/>
      <c r="H2011" s="103"/>
      <c r="I2011" s="108">
        <f>Tableau3[[#This Row],[Stock final]]*Tableau3[[#This Row],[P.U.]]</f>
        <v>0</v>
      </c>
      <c r="J2011" s="184"/>
    </row>
    <row r="2012" spans="1:10" ht="19.350000000000001" customHeight="1">
      <c r="A2012" s="102"/>
      <c r="B2012" s="102"/>
      <c r="C2012" s="116"/>
      <c r="F2012" s="107"/>
      <c r="G2012" s="10"/>
      <c r="H2012" s="103"/>
      <c r="I2012" s="108">
        <f>Tableau3[[#This Row],[Stock final]]*Tableau3[[#This Row],[P.U.]]</f>
        <v>0</v>
      </c>
      <c r="J2012" s="184"/>
    </row>
    <row r="2013" spans="1:10" ht="19.350000000000001" customHeight="1">
      <c r="A2013" s="102"/>
      <c r="B2013" s="102"/>
      <c r="C2013" s="116"/>
      <c r="F2013" s="107"/>
      <c r="G2013" s="10"/>
      <c r="H2013" s="103"/>
      <c r="I2013" s="108">
        <f>Tableau3[[#This Row],[Stock final]]*Tableau3[[#This Row],[P.U.]]</f>
        <v>0</v>
      </c>
      <c r="J2013" s="184"/>
    </row>
    <row r="2014" spans="1:10" ht="19.350000000000001" customHeight="1">
      <c r="A2014" s="102"/>
      <c r="B2014" s="102"/>
      <c r="C2014" s="116"/>
      <c r="F2014" s="107"/>
      <c r="G2014" s="10"/>
      <c r="H2014" s="103"/>
      <c r="I2014" s="108">
        <f>Tableau3[[#This Row],[Stock final]]*Tableau3[[#This Row],[P.U.]]</f>
        <v>0</v>
      </c>
      <c r="J2014" s="184"/>
    </row>
    <row r="2015" spans="1:10" ht="19.350000000000001" customHeight="1">
      <c r="A2015" s="102"/>
      <c r="B2015" s="102"/>
      <c r="C2015" s="116"/>
      <c r="F2015" s="107"/>
      <c r="G2015" s="10"/>
      <c r="H2015" s="103"/>
      <c r="I2015" s="108">
        <f>Tableau3[[#This Row],[Stock final]]*Tableau3[[#This Row],[P.U.]]</f>
        <v>0</v>
      </c>
      <c r="J2015" s="184"/>
    </row>
    <row r="2016" spans="1:10" ht="19.350000000000001" customHeight="1">
      <c r="A2016" s="102"/>
      <c r="B2016" s="102"/>
      <c r="C2016" s="116"/>
      <c r="F2016" s="107"/>
      <c r="G2016" s="10"/>
      <c r="H2016" s="103"/>
      <c r="I2016" s="108">
        <f>Tableau3[[#This Row],[Stock final]]*Tableau3[[#This Row],[P.U.]]</f>
        <v>0</v>
      </c>
      <c r="J2016" s="184"/>
    </row>
    <row r="2017" spans="1:10" ht="19.350000000000001" customHeight="1">
      <c r="A2017" s="102"/>
      <c r="B2017" s="102"/>
      <c r="C2017" s="116"/>
      <c r="F2017" s="107"/>
      <c r="G2017" s="10"/>
      <c r="H2017" s="103"/>
      <c r="I2017" s="108">
        <f>Tableau3[[#This Row],[Stock final]]*Tableau3[[#This Row],[P.U.]]</f>
        <v>0</v>
      </c>
      <c r="J2017" s="184"/>
    </row>
    <row r="2018" spans="1:10" ht="19.350000000000001" customHeight="1">
      <c r="A2018" s="102"/>
      <c r="B2018" s="102"/>
      <c r="C2018" s="116"/>
      <c r="F2018" s="107"/>
      <c r="G2018" s="10"/>
      <c r="H2018" s="103"/>
      <c r="I2018" s="108">
        <f>Tableau3[[#This Row],[Stock final]]*Tableau3[[#This Row],[P.U.]]</f>
        <v>0</v>
      </c>
      <c r="J2018" s="184"/>
    </row>
    <row r="2019" spans="1:10" ht="19.350000000000001" customHeight="1">
      <c r="A2019" s="102"/>
      <c r="B2019" s="102"/>
      <c r="C2019" s="155"/>
      <c r="D2019" s="171"/>
      <c r="E2019" s="177"/>
      <c r="F2019" s="107"/>
      <c r="G2019" s="10"/>
      <c r="H2019" s="103"/>
      <c r="I2019" s="108">
        <f>Tableau3[[#This Row],[Stock final]]*Tableau3[[#This Row],[P.U.]]</f>
        <v>0</v>
      </c>
      <c r="J2019" s="184"/>
    </row>
    <row r="2020" spans="1:10" ht="19.350000000000001" customHeight="1">
      <c r="A2020" s="102"/>
      <c r="B2020" s="102" t="s">
        <v>991</v>
      </c>
      <c r="C2020" s="116" t="s">
        <v>992</v>
      </c>
      <c r="D2020" s="114" t="s">
        <v>993</v>
      </c>
      <c r="E2020" s="113" t="s">
        <v>341</v>
      </c>
      <c r="F2020" s="107"/>
      <c r="G2020" s="10"/>
      <c r="H2020" s="103">
        <v>3.47</v>
      </c>
      <c r="I2020" s="108">
        <f>Tableau3[[#This Row],[Stock final]]*Tableau3[[#This Row],[P.U.]]</f>
        <v>0</v>
      </c>
      <c r="J2020" s="184"/>
    </row>
    <row r="2021" spans="1:10" ht="19.350000000000001" customHeight="1">
      <c r="A2021" s="102"/>
      <c r="B2021" s="102" t="s">
        <v>991</v>
      </c>
      <c r="C2021" s="116" t="s">
        <v>994</v>
      </c>
      <c r="D2021" s="114" t="s">
        <v>995</v>
      </c>
      <c r="E2021" s="113" t="s">
        <v>341</v>
      </c>
      <c r="F2021" s="107"/>
      <c r="G2021" s="10"/>
      <c r="H2021" s="103">
        <v>6.85</v>
      </c>
      <c r="I2021" s="108">
        <f>Tableau3[[#This Row],[Stock final]]*Tableau3[[#This Row],[P.U.]]</f>
        <v>0</v>
      </c>
      <c r="J2021" s="184"/>
    </row>
    <row r="2022" spans="1:10" ht="19.350000000000001" customHeight="1">
      <c r="A2022" s="102"/>
      <c r="B2022" s="102" t="s">
        <v>991</v>
      </c>
      <c r="C2022" s="116" t="s">
        <v>996</v>
      </c>
      <c r="D2022" s="114" t="s">
        <v>997</v>
      </c>
      <c r="E2022" s="113" t="s">
        <v>331</v>
      </c>
      <c r="F2022" s="107"/>
      <c r="G2022" s="10"/>
      <c r="H2022" s="103">
        <v>12.33</v>
      </c>
      <c r="I2022" s="108">
        <f>Tableau3[[#This Row],[Stock final]]*Tableau3[[#This Row],[P.U.]]</f>
        <v>0</v>
      </c>
      <c r="J2022" s="184"/>
    </row>
    <row r="2023" spans="1:10" ht="19.350000000000001" customHeight="1">
      <c r="A2023" s="102"/>
      <c r="B2023" s="102" t="s">
        <v>991</v>
      </c>
      <c r="C2023" s="116" t="s">
        <v>998</v>
      </c>
      <c r="D2023" s="114" t="s">
        <v>999</v>
      </c>
      <c r="E2023" s="113" t="s">
        <v>331</v>
      </c>
      <c r="F2023" s="107"/>
      <c r="G2023" s="10"/>
      <c r="H2023" s="103">
        <v>20.56</v>
      </c>
      <c r="I2023" s="108">
        <f>Tableau3[[#This Row],[Stock final]]*Tableau3[[#This Row],[P.U.]]</f>
        <v>0</v>
      </c>
      <c r="J2023" s="184"/>
    </row>
    <row r="2024" spans="1:10" ht="19.350000000000001" customHeight="1">
      <c r="A2024" s="102"/>
      <c r="B2024" s="102" t="s">
        <v>991</v>
      </c>
      <c r="C2024" s="116" t="s">
        <v>1000</v>
      </c>
      <c r="D2024" s="114" t="s">
        <v>1001</v>
      </c>
      <c r="E2024" s="113" t="s">
        <v>341</v>
      </c>
      <c r="F2024" s="107"/>
      <c r="G2024" s="10"/>
      <c r="H2024" s="103">
        <v>6.17</v>
      </c>
      <c r="I2024" s="108">
        <f>Tableau3[[#This Row],[Stock final]]*Tableau3[[#This Row],[P.U.]]</f>
        <v>0</v>
      </c>
      <c r="J2024" s="184"/>
    </row>
    <row r="2025" spans="1:10" ht="19.350000000000001" customHeight="1">
      <c r="A2025" s="102"/>
      <c r="B2025" s="102" t="s">
        <v>991</v>
      </c>
      <c r="C2025" s="116" t="s">
        <v>1002</v>
      </c>
      <c r="D2025" s="114" t="s">
        <v>1003</v>
      </c>
      <c r="E2025" s="113" t="s">
        <v>341</v>
      </c>
      <c r="F2025" s="107"/>
      <c r="G2025" s="10"/>
      <c r="H2025" s="103">
        <v>5.92</v>
      </c>
      <c r="I2025" s="108">
        <f>Tableau3[[#This Row],[Stock final]]*Tableau3[[#This Row],[P.U.]]</f>
        <v>0</v>
      </c>
      <c r="J2025" s="184"/>
    </row>
    <row r="2026" spans="1:10" ht="19.350000000000001" customHeight="1">
      <c r="A2026" s="102"/>
      <c r="B2026" s="102" t="s">
        <v>991</v>
      </c>
      <c r="C2026" s="116" t="s">
        <v>1004</v>
      </c>
      <c r="D2026" s="114" t="s">
        <v>1005</v>
      </c>
      <c r="E2026" s="113" t="s">
        <v>331</v>
      </c>
      <c r="F2026" s="107"/>
      <c r="G2026" s="10"/>
      <c r="H2026" s="103">
        <v>14.73</v>
      </c>
      <c r="I2026" s="108">
        <f>Tableau3[[#This Row],[Stock final]]*Tableau3[[#This Row],[P.U.]]</f>
        <v>0</v>
      </c>
      <c r="J2026" s="184"/>
    </row>
    <row r="2027" spans="1:10" ht="19.350000000000001" customHeight="1">
      <c r="A2027" s="102"/>
      <c r="B2027" s="102" t="s">
        <v>991</v>
      </c>
      <c r="C2027" s="116" t="s">
        <v>1006</v>
      </c>
      <c r="D2027" s="114" t="s">
        <v>1007</v>
      </c>
      <c r="E2027" s="113" t="s">
        <v>331</v>
      </c>
      <c r="F2027" s="107"/>
      <c r="G2027" s="10"/>
      <c r="H2027" s="103">
        <v>6.64</v>
      </c>
      <c r="I2027" s="108">
        <f>Tableau3[[#This Row],[Stock final]]*Tableau3[[#This Row],[P.U.]]</f>
        <v>0</v>
      </c>
      <c r="J2027" s="184"/>
    </row>
    <row r="2028" spans="1:10" ht="19.350000000000001" customHeight="1">
      <c r="A2028" s="102"/>
      <c r="B2028" s="102" t="s">
        <v>991</v>
      </c>
      <c r="C2028" s="116" t="s">
        <v>1008</v>
      </c>
      <c r="D2028" s="114" t="s">
        <v>1009</v>
      </c>
      <c r="E2028" s="113" t="s">
        <v>331</v>
      </c>
      <c r="F2028" s="107"/>
      <c r="G2028" s="10"/>
      <c r="H2028" s="103">
        <v>9.9</v>
      </c>
      <c r="I2028" s="108">
        <f>Tableau3[[#This Row],[Stock final]]*Tableau3[[#This Row],[P.U.]]</f>
        <v>0</v>
      </c>
      <c r="J2028" s="184"/>
    </row>
    <row r="2029" spans="1:10" ht="19.350000000000001" customHeight="1">
      <c r="A2029" s="102"/>
      <c r="B2029" s="102" t="s">
        <v>991</v>
      </c>
      <c r="C2029" s="116" t="s">
        <v>1010</v>
      </c>
      <c r="D2029" s="114" t="s">
        <v>1011</v>
      </c>
      <c r="E2029" s="113" t="s">
        <v>331</v>
      </c>
      <c r="F2029" s="107"/>
      <c r="G2029" s="10"/>
      <c r="H2029" s="103">
        <v>12.95</v>
      </c>
      <c r="I2029" s="108">
        <f>Tableau3[[#This Row],[Stock final]]*Tableau3[[#This Row],[P.U.]]</f>
        <v>0</v>
      </c>
      <c r="J2029" s="184"/>
    </row>
    <row r="2030" spans="1:10" ht="19.350000000000001" customHeight="1">
      <c r="A2030" s="102"/>
      <c r="B2030" s="102" t="s">
        <v>991</v>
      </c>
      <c r="C2030" s="116" t="s">
        <v>1012</v>
      </c>
      <c r="D2030" s="114" t="s">
        <v>1013</v>
      </c>
      <c r="E2030" s="113" t="s">
        <v>331</v>
      </c>
      <c r="F2030" s="107"/>
      <c r="G2030" s="10"/>
      <c r="H2030" s="103">
        <v>10.5</v>
      </c>
      <c r="I2030" s="108">
        <f>Tableau3[[#This Row],[Stock final]]*Tableau3[[#This Row],[P.U.]]</f>
        <v>0</v>
      </c>
      <c r="J2030" s="184"/>
    </row>
    <row r="2031" spans="1:10" ht="19.350000000000001" customHeight="1">
      <c r="A2031" s="102"/>
      <c r="B2031" s="102" t="s">
        <v>991</v>
      </c>
      <c r="C2031" s="116" t="s">
        <v>1014</v>
      </c>
      <c r="D2031" s="114" t="s">
        <v>993</v>
      </c>
      <c r="E2031" s="113" t="s">
        <v>14</v>
      </c>
      <c r="F2031" s="107"/>
      <c r="G2031" s="10"/>
      <c r="H2031" s="103">
        <v>3.28</v>
      </c>
      <c r="I2031" s="108">
        <f>Tableau3[[#This Row],[Stock final]]*Tableau3[[#This Row],[P.U.]]</f>
        <v>0</v>
      </c>
      <c r="J2031" s="184"/>
    </row>
    <row r="2032" spans="1:10" ht="19.350000000000001" customHeight="1">
      <c r="A2032" s="102"/>
      <c r="B2032" s="102" t="s">
        <v>991</v>
      </c>
      <c r="C2032" s="116" t="s">
        <v>1015</v>
      </c>
      <c r="D2032" s="114" t="s">
        <v>1016</v>
      </c>
      <c r="E2032" s="113" t="s">
        <v>14</v>
      </c>
      <c r="F2032" s="107"/>
      <c r="G2032" s="10"/>
      <c r="H2032" s="103">
        <v>6.48</v>
      </c>
      <c r="I2032" s="108">
        <f>Tableau3[[#This Row],[Stock final]]*Tableau3[[#This Row],[P.U.]]</f>
        <v>0</v>
      </c>
      <c r="J2032" s="184"/>
    </row>
    <row r="2033" spans="1:10" ht="19.350000000000001" customHeight="1">
      <c r="A2033" s="102"/>
      <c r="B2033" s="102" t="s">
        <v>991</v>
      </c>
      <c r="C2033" s="116" t="s">
        <v>1017</v>
      </c>
      <c r="D2033" s="114" t="s">
        <v>1018</v>
      </c>
      <c r="E2033" s="113" t="s">
        <v>14</v>
      </c>
      <c r="F2033" s="107"/>
      <c r="G2033" s="10"/>
      <c r="H2033" s="103">
        <v>11.94</v>
      </c>
      <c r="I2033" s="108">
        <f>Tableau3[[#This Row],[Stock final]]*Tableau3[[#This Row],[P.U.]]</f>
        <v>0</v>
      </c>
      <c r="J2033" s="184"/>
    </row>
    <row r="2034" spans="1:10" ht="19.350000000000001" customHeight="1">
      <c r="A2034" s="102"/>
      <c r="B2034" s="102" t="s">
        <v>991</v>
      </c>
      <c r="C2034" s="116" t="s">
        <v>1019</v>
      </c>
      <c r="D2034" s="114" t="s">
        <v>1020</v>
      </c>
      <c r="E2034" s="113" t="s">
        <v>14</v>
      </c>
      <c r="F2034" s="107"/>
      <c r="G2034" s="10"/>
      <c r="H2034" s="103">
        <v>6.07</v>
      </c>
      <c r="I2034" s="108">
        <f>Tableau3[[#This Row],[Stock final]]*Tableau3[[#This Row],[P.U.]]</f>
        <v>0</v>
      </c>
      <c r="J2034" s="184"/>
    </row>
    <row r="2035" spans="1:10" ht="19.350000000000001" customHeight="1">
      <c r="A2035" s="102"/>
      <c r="B2035" s="102" t="s">
        <v>991</v>
      </c>
      <c r="C2035" s="116" t="s">
        <v>1021</v>
      </c>
      <c r="D2035" s="114" t="s">
        <v>1003</v>
      </c>
      <c r="E2035" s="113" t="s">
        <v>14</v>
      </c>
      <c r="F2035" s="107"/>
      <c r="G2035" s="10"/>
      <c r="H2035" s="103">
        <v>5.58</v>
      </c>
      <c r="I2035" s="108">
        <f>Tableau3[[#This Row],[Stock final]]*Tableau3[[#This Row],[P.U.]]</f>
        <v>0</v>
      </c>
      <c r="J2035" s="184"/>
    </row>
    <row r="2036" spans="1:10" ht="19.350000000000001" customHeight="1">
      <c r="A2036" s="102"/>
      <c r="B2036" s="102" t="s">
        <v>991</v>
      </c>
      <c r="C2036" s="116" t="s">
        <v>1022</v>
      </c>
      <c r="D2036" s="114" t="s">
        <v>1023</v>
      </c>
      <c r="E2036" s="113" t="s">
        <v>14</v>
      </c>
      <c r="F2036" s="107"/>
      <c r="G2036" s="10"/>
      <c r="H2036" s="103">
        <v>13.52</v>
      </c>
      <c r="I2036" s="108">
        <f>Tableau3[[#This Row],[Stock final]]*Tableau3[[#This Row],[P.U.]]</f>
        <v>0</v>
      </c>
      <c r="J2036" s="184"/>
    </row>
    <row r="2037" spans="1:10" ht="19.350000000000001" customHeight="1">
      <c r="A2037" s="102"/>
      <c r="B2037" s="102" t="s">
        <v>991</v>
      </c>
      <c r="C2037" s="116" t="s">
        <v>1024</v>
      </c>
      <c r="D2037" s="114" t="s">
        <v>1007</v>
      </c>
      <c r="E2037" s="113" t="s">
        <v>14</v>
      </c>
      <c r="F2037" s="107"/>
      <c r="G2037" s="10"/>
      <c r="H2037" s="103">
        <v>6.4</v>
      </c>
      <c r="I2037" s="108">
        <f>Tableau3[[#This Row],[Stock final]]*Tableau3[[#This Row],[P.U.]]</f>
        <v>0</v>
      </c>
      <c r="J2037" s="184"/>
    </row>
    <row r="2038" spans="1:10" ht="19.350000000000001" customHeight="1">
      <c r="A2038" s="102"/>
      <c r="B2038" s="102" t="s">
        <v>991</v>
      </c>
      <c r="C2038" s="116" t="s">
        <v>1025</v>
      </c>
      <c r="D2038" s="114" t="s">
        <v>1011</v>
      </c>
      <c r="E2038" s="113" t="s">
        <v>14</v>
      </c>
      <c r="F2038" s="107"/>
      <c r="G2038" s="10"/>
      <c r="H2038" s="103">
        <v>12.78</v>
      </c>
      <c r="I2038" s="108">
        <f>Tableau3[[#This Row],[Stock final]]*Tableau3[[#This Row],[P.U.]]</f>
        <v>0</v>
      </c>
      <c r="J2038" s="184"/>
    </row>
    <row r="2039" spans="1:10" ht="19.350000000000001" customHeight="1">
      <c r="A2039" s="102"/>
      <c r="B2039" s="102" t="s">
        <v>991</v>
      </c>
      <c r="C2039" s="116" t="s">
        <v>1026</v>
      </c>
      <c r="D2039" s="114" t="s">
        <v>1027</v>
      </c>
      <c r="E2039" s="113" t="s">
        <v>14</v>
      </c>
      <c r="F2039" s="107"/>
      <c r="G2039" s="10"/>
      <c r="H2039" s="103">
        <v>11.95</v>
      </c>
      <c r="I2039" s="108">
        <f>Tableau3[[#This Row],[Stock final]]*Tableau3[[#This Row],[P.U.]]</f>
        <v>0</v>
      </c>
      <c r="J2039" s="184"/>
    </row>
    <row r="2040" spans="1:10" ht="19.350000000000001" customHeight="1">
      <c r="A2040" s="102"/>
      <c r="B2040" s="102" t="s">
        <v>991</v>
      </c>
      <c r="C2040" s="116" t="s">
        <v>476</v>
      </c>
      <c r="D2040" s="114" t="s">
        <v>477</v>
      </c>
      <c r="E2040" s="113" t="s">
        <v>14</v>
      </c>
      <c r="F2040" s="107"/>
      <c r="G2040" s="10"/>
      <c r="H2040" s="103">
        <v>7.01</v>
      </c>
      <c r="I2040" s="108">
        <f>Tableau3[[#This Row],[Stock final]]*Tableau3[[#This Row],[P.U.]]</f>
        <v>0</v>
      </c>
      <c r="J2040" s="184"/>
    </row>
    <row r="2041" spans="1:10" ht="19.350000000000001" customHeight="1">
      <c r="A2041" s="102"/>
      <c r="B2041" s="102" t="s">
        <v>991</v>
      </c>
      <c r="C2041" s="116" t="s">
        <v>479</v>
      </c>
      <c r="D2041" s="114" t="s">
        <v>1028</v>
      </c>
      <c r="E2041" s="113" t="s">
        <v>14</v>
      </c>
      <c r="F2041" s="107"/>
      <c r="G2041" s="10"/>
      <c r="H2041" s="103">
        <v>6.38</v>
      </c>
      <c r="I2041" s="108">
        <f>Tableau3[[#This Row],[Stock final]]*Tableau3[[#This Row],[P.U.]]</f>
        <v>0</v>
      </c>
      <c r="J2041" s="184"/>
    </row>
    <row r="2042" spans="1:10" ht="19.350000000000001" customHeight="1">
      <c r="A2042" s="102"/>
      <c r="B2042" s="102"/>
      <c r="C2042" s="116"/>
      <c r="F2042" s="107"/>
      <c r="G2042" s="10"/>
      <c r="H2042" s="103"/>
      <c r="I2042" s="108">
        <f>Tableau3[[#This Row],[Stock final]]*Tableau3[[#This Row],[P.U.]]</f>
        <v>0</v>
      </c>
      <c r="J2042" s="184"/>
    </row>
    <row r="2043" spans="1:10" ht="19.350000000000001" customHeight="1">
      <c r="A2043" s="102"/>
      <c r="B2043" s="102"/>
      <c r="C2043" s="116"/>
      <c r="F2043" s="107"/>
      <c r="G2043" s="10"/>
      <c r="H2043" s="103"/>
      <c r="I2043" s="108">
        <f>Tableau3[[#This Row],[Stock final]]*Tableau3[[#This Row],[P.U.]]</f>
        <v>0</v>
      </c>
      <c r="J2043" s="184"/>
    </row>
    <row r="2044" spans="1:10" ht="19.350000000000001" customHeight="1">
      <c r="A2044" s="102"/>
      <c r="B2044" s="102"/>
      <c r="C2044" s="116"/>
      <c r="F2044" s="107"/>
      <c r="G2044" s="10"/>
      <c r="H2044" s="103"/>
      <c r="I2044" s="108">
        <f>Tableau3[[#This Row],[Stock final]]*Tableau3[[#This Row],[P.U.]]</f>
        <v>0</v>
      </c>
      <c r="J2044" s="184"/>
    </row>
    <row r="2045" spans="1:10" ht="19.350000000000001" customHeight="1">
      <c r="A2045" s="102"/>
      <c r="B2045" s="102"/>
      <c r="C2045" s="116"/>
      <c r="F2045" s="107"/>
      <c r="G2045" s="10"/>
      <c r="H2045" s="103"/>
      <c r="I2045" s="108">
        <f>Tableau3[[#This Row],[Stock final]]*Tableau3[[#This Row],[P.U.]]</f>
        <v>0</v>
      </c>
      <c r="J2045" s="184"/>
    </row>
    <row r="2046" spans="1:10" ht="19.350000000000001" customHeight="1">
      <c r="A2046" s="102"/>
      <c r="B2046" s="102"/>
      <c r="C2046" s="116"/>
      <c r="F2046" s="107"/>
      <c r="G2046" s="10"/>
      <c r="H2046" s="103"/>
      <c r="I2046" s="108">
        <f>Tableau3[[#This Row],[Stock final]]*Tableau3[[#This Row],[P.U.]]</f>
        <v>0</v>
      </c>
      <c r="J2046" s="184"/>
    </row>
    <row r="2047" spans="1:10" ht="19.350000000000001" customHeight="1">
      <c r="A2047" s="102"/>
      <c r="B2047" s="102"/>
      <c r="C2047" s="116"/>
      <c r="F2047" s="107"/>
      <c r="G2047" s="10"/>
      <c r="H2047" s="103"/>
      <c r="I2047" s="108">
        <f>Tableau3[[#This Row],[Stock final]]*Tableau3[[#This Row],[P.U.]]</f>
        <v>0</v>
      </c>
      <c r="J2047" s="184"/>
    </row>
    <row r="2048" spans="1:10" ht="19.350000000000001" customHeight="1">
      <c r="A2048" s="102"/>
      <c r="B2048" s="102"/>
      <c r="C2048" s="116"/>
      <c r="F2048" s="107"/>
      <c r="G2048" s="10"/>
      <c r="H2048" s="103"/>
      <c r="I2048" s="108">
        <f>Tableau3[[#This Row],[Stock final]]*Tableau3[[#This Row],[P.U.]]</f>
        <v>0</v>
      </c>
      <c r="J2048" s="184"/>
    </row>
    <row r="2049" spans="1:10" ht="19.350000000000001" customHeight="1">
      <c r="A2049" s="102"/>
      <c r="B2049" s="102"/>
      <c r="C2049" s="116"/>
      <c r="F2049" s="107"/>
      <c r="G2049" s="10"/>
      <c r="H2049" s="103"/>
      <c r="I2049" s="108">
        <f>Tableau3[[#This Row],[Stock final]]*Tableau3[[#This Row],[P.U.]]</f>
        <v>0</v>
      </c>
      <c r="J2049" s="184"/>
    </row>
    <row r="2050" spans="1:10" ht="19.350000000000001" customHeight="1">
      <c r="A2050" s="102"/>
      <c r="B2050" s="102"/>
      <c r="C2050" s="116"/>
      <c r="F2050" s="107"/>
      <c r="G2050" s="10"/>
      <c r="H2050" s="103"/>
      <c r="I2050" s="108">
        <f>Tableau3[[#This Row],[Stock final]]*Tableau3[[#This Row],[P.U.]]</f>
        <v>0</v>
      </c>
      <c r="J2050" s="184"/>
    </row>
    <row r="2051" spans="1:10" ht="19.350000000000001" customHeight="1">
      <c r="A2051" s="102"/>
      <c r="B2051" s="102"/>
      <c r="C2051" s="116"/>
      <c r="F2051" s="107"/>
      <c r="G2051" s="10"/>
      <c r="H2051" s="103"/>
      <c r="I2051" s="108">
        <f>Tableau3[[#This Row],[Stock final]]*Tableau3[[#This Row],[P.U.]]</f>
        <v>0</v>
      </c>
      <c r="J2051" s="184"/>
    </row>
    <row r="2052" spans="1:10" ht="19.350000000000001" customHeight="1">
      <c r="A2052" s="102"/>
      <c r="B2052" s="102"/>
      <c r="C2052" s="116"/>
      <c r="F2052" s="107"/>
      <c r="G2052" s="10"/>
      <c r="H2052" s="103"/>
      <c r="I2052" s="108">
        <f>Tableau3[[#This Row],[Stock final]]*Tableau3[[#This Row],[P.U.]]</f>
        <v>0</v>
      </c>
      <c r="J2052" s="184"/>
    </row>
    <row r="2053" spans="1:10" ht="19.350000000000001" customHeight="1">
      <c r="A2053" s="102"/>
      <c r="B2053" s="102"/>
      <c r="C2053" s="116"/>
      <c r="F2053" s="107"/>
      <c r="G2053" s="10"/>
      <c r="H2053" s="103"/>
      <c r="I2053" s="108">
        <f>Tableau3[[#This Row],[Stock final]]*Tableau3[[#This Row],[P.U.]]</f>
        <v>0</v>
      </c>
      <c r="J2053" s="184"/>
    </row>
    <row r="2054" spans="1:10" ht="19.350000000000001" customHeight="1">
      <c r="A2054" s="102"/>
      <c r="B2054" s="102"/>
      <c r="C2054" s="116"/>
      <c r="F2054" s="107"/>
      <c r="G2054" s="10"/>
      <c r="H2054" s="103"/>
      <c r="I2054" s="108">
        <f>Tableau3[[#This Row],[Stock final]]*Tableau3[[#This Row],[P.U.]]</f>
        <v>0</v>
      </c>
      <c r="J2054" s="184"/>
    </row>
    <row r="2055" spans="1:10" ht="19.350000000000001" customHeight="1">
      <c r="A2055" s="102"/>
      <c r="B2055" s="102"/>
      <c r="C2055" s="116"/>
      <c r="F2055" s="107"/>
      <c r="G2055" s="10"/>
      <c r="H2055" s="103"/>
      <c r="I2055" s="108">
        <f>Tableau3[[#This Row],[Stock final]]*Tableau3[[#This Row],[P.U.]]</f>
        <v>0</v>
      </c>
      <c r="J2055" s="184"/>
    </row>
    <row r="2056" spans="1:10" ht="19.350000000000001" customHeight="1">
      <c r="A2056" s="102"/>
      <c r="B2056" s="102"/>
      <c r="C2056" s="116"/>
      <c r="F2056" s="107"/>
      <c r="G2056" s="10"/>
      <c r="H2056" s="103"/>
      <c r="I2056" s="108">
        <f>Tableau3[[#This Row],[Stock final]]*Tableau3[[#This Row],[P.U.]]</f>
        <v>0</v>
      </c>
      <c r="J2056" s="184"/>
    </row>
    <row r="2057" spans="1:10" ht="19.350000000000001" customHeight="1">
      <c r="A2057" s="102"/>
      <c r="B2057" s="102"/>
      <c r="C2057" s="116"/>
      <c r="F2057" s="107"/>
      <c r="G2057" s="10"/>
      <c r="H2057" s="103"/>
      <c r="I2057" s="108">
        <f>Tableau3[[#This Row],[Stock final]]*Tableau3[[#This Row],[P.U.]]</f>
        <v>0</v>
      </c>
      <c r="J2057" s="184"/>
    </row>
    <row r="2058" spans="1:10" ht="19.350000000000001" customHeight="1">
      <c r="A2058" s="102"/>
      <c r="B2058" s="102"/>
      <c r="C2058" s="116"/>
      <c r="F2058" s="107"/>
      <c r="G2058" s="10"/>
      <c r="H2058" s="103"/>
      <c r="I2058" s="108">
        <f>Tableau3[[#This Row],[Stock final]]*Tableau3[[#This Row],[P.U.]]</f>
        <v>0</v>
      </c>
      <c r="J2058" s="184"/>
    </row>
    <row r="2059" spans="1:10" ht="19.350000000000001" customHeight="1">
      <c r="A2059" s="102"/>
      <c r="B2059" s="102"/>
      <c r="C2059" s="116"/>
      <c r="F2059" s="107"/>
      <c r="G2059" s="10"/>
      <c r="H2059" s="103"/>
      <c r="I2059" s="108">
        <f>Tableau3[[#This Row],[Stock final]]*Tableau3[[#This Row],[P.U.]]</f>
        <v>0</v>
      </c>
      <c r="J2059" s="184"/>
    </row>
    <row r="2060" spans="1:10" ht="19.350000000000001" customHeight="1">
      <c r="A2060" s="102"/>
      <c r="B2060" s="102"/>
      <c r="C2060" s="116"/>
      <c r="F2060" s="107"/>
      <c r="G2060" s="10"/>
      <c r="H2060" s="103"/>
      <c r="I2060" s="108">
        <f>Tableau3[[#This Row],[Stock final]]*Tableau3[[#This Row],[P.U.]]</f>
        <v>0</v>
      </c>
      <c r="J2060" s="184"/>
    </row>
    <row r="2061" spans="1:10" ht="19.350000000000001" customHeight="1">
      <c r="A2061" s="102"/>
      <c r="B2061" s="102"/>
      <c r="C2061" s="116"/>
      <c r="F2061" s="107"/>
      <c r="G2061" s="10"/>
      <c r="H2061" s="103"/>
      <c r="I2061" s="108">
        <f>Tableau3[[#This Row],[Stock final]]*Tableau3[[#This Row],[P.U.]]</f>
        <v>0</v>
      </c>
      <c r="J2061" s="184"/>
    </row>
    <row r="2062" spans="1:10" ht="19.350000000000001" customHeight="1">
      <c r="A2062" s="102"/>
      <c r="B2062" s="102"/>
      <c r="C2062" s="116"/>
      <c r="F2062" s="107"/>
      <c r="G2062" s="10"/>
      <c r="H2062" s="103"/>
      <c r="I2062" s="108">
        <f>Tableau3[[#This Row],[Stock final]]*Tableau3[[#This Row],[P.U.]]</f>
        <v>0</v>
      </c>
      <c r="J2062" s="184"/>
    </row>
    <row r="2063" spans="1:10" ht="19.350000000000001" customHeight="1">
      <c r="A2063" s="102"/>
      <c r="B2063" s="102"/>
      <c r="C2063" s="116"/>
      <c r="F2063" s="107"/>
      <c r="G2063" s="10"/>
      <c r="H2063" s="103"/>
      <c r="I2063" s="108">
        <f>Tableau3[[#This Row],[Stock final]]*Tableau3[[#This Row],[P.U.]]</f>
        <v>0</v>
      </c>
      <c r="J2063" s="184"/>
    </row>
    <row r="2064" spans="1:10" ht="19.350000000000001" customHeight="1">
      <c r="A2064" s="102"/>
      <c r="B2064" s="102"/>
      <c r="C2064" s="116"/>
      <c r="F2064" s="107"/>
      <c r="G2064" s="10"/>
      <c r="H2064" s="103"/>
      <c r="I2064" s="108">
        <f>Tableau3[[#This Row],[Stock final]]*Tableau3[[#This Row],[P.U.]]</f>
        <v>0</v>
      </c>
      <c r="J2064" s="184"/>
    </row>
    <row r="2065" spans="1:10" ht="19.350000000000001" customHeight="1">
      <c r="A2065" s="102"/>
      <c r="B2065" s="102"/>
      <c r="C2065" s="116"/>
      <c r="F2065" s="107"/>
      <c r="G2065" s="10"/>
      <c r="H2065" s="103"/>
      <c r="I2065" s="108">
        <f>Tableau3[[#This Row],[Stock final]]*Tableau3[[#This Row],[P.U.]]</f>
        <v>0</v>
      </c>
      <c r="J2065" s="184"/>
    </row>
    <row r="2066" spans="1:10" ht="19.350000000000001" customHeight="1">
      <c r="A2066" s="102"/>
      <c r="B2066" s="102"/>
      <c r="C2066" s="116"/>
      <c r="F2066" s="107"/>
      <c r="G2066" s="10"/>
      <c r="H2066" s="103"/>
      <c r="I2066" s="108">
        <f>Tableau3[[#This Row],[Stock final]]*Tableau3[[#This Row],[P.U.]]</f>
        <v>0</v>
      </c>
      <c r="J2066" s="184"/>
    </row>
    <row r="2067" spans="1:10" ht="19.350000000000001" customHeight="1">
      <c r="A2067" s="102"/>
      <c r="B2067" s="102"/>
      <c r="C2067" s="116"/>
      <c r="F2067" s="107"/>
      <c r="G2067" s="10"/>
      <c r="H2067" s="103"/>
      <c r="I2067" s="108">
        <f>Tableau3[[#This Row],[Stock final]]*Tableau3[[#This Row],[P.U.]]</f>
        <v>0</v>
      </c>
      <c r="J2067" s="184"/>
    </row>
    <row r="2068" spans="1:10" ht="19.350000000000001" customHeight="1">
      <c r="A2068" s="102"/>
      <c r="B2068" s="102"/>
      <c r="C2068" s="116"/>
      <c r="F2068" s="107"/>
      <c r="G2068" s="10"/>
      <c r="H2068" s="103"/>
      <c r="I2068" s="108">
        <f>Tableau3[[#This Row],[Stock final]]*Tableau3[[#This Row],[P.U.]]</f>
        <v>0</v>
      </c>
      <c r="J2068" s="184"/>
    </row>
    <row r="2069" spans="1:10" ht="19.350000000000001" customHeight="1">
      <c r="A2069" s="102"/>
      <c r="B2069" s="102"/>
      <c r="C2069" s="116"/>
      <c r="F2069" s="107"/>
      <c r="G2069" s="10"/>
      <c r="H2069" s="103"/>
      <c r="I2069" s="108">
        <f>Tableau3[[#This Row],[Stock final]]*Tableau3[[#This Row],[P.U.]]</f>
        <v>0</v>
      </c>
      <c r="J2069" s="184"/>
    </row>
    <row r="2070" spans="1:10" ht="19.350000000000001" customHeight="1">
      <c r="A2070" s="102"/>
      <c r="B2070" s="102"/>
      <c r="C2070" s="116"/>
      <c r="F2070" s="107"/>
      <c r="G2070" s="10"/>
      <c r="H2070" s="103"/>
      <c r="I2070" s="108">
        <f>Tableau3[[#This Row],[Stock final]]*Tableau3[[#This Row],[P.U.]]</f>
        <v>0</v>
      </c>
      <c r="J2070" s="184"/>
    </row>
    <row r="2071" spans="1:10" ht="19.350000000000001" customHeight="1">
      <c r="A2071" s="102"/>
      <c r="B2071" s="102"/>
      <c r="C2071" s="116"/>
      <c r="F2071" s="107"/>
      <c r="G2071" s="10"/>
      <c r="H2071" s="103"/>
      <c r="I2071" s="108">
        <f>Tableau3[[#This Row],[Stock final]]*Tableau3[[#This Row],[P.U.]]</f>
        <v>0</v>
      </c>
      <c r="J2071" s="184"/>
    </row>
    <row r="2072" spans="1:10" ht="19.350000000000001" customHeight="1">
      <c r="A2072" s="102"/>
      <c r="B2072" s="102"/>
      <c r="C2072" s="116"/>
      <c r="F2072" s="107"/>
      <c r="G2072" s="10"/>
      <c r="H2072" s="103"/>
      <c r="I2072" s="108">
        <f>Tableau3[[#This Row],[Stock final]]*Tableau3[[#This Row],[P.U.]]</f>
        <v>0</v>
      </c>
      <c r="J2072" s="184"/>
    </row>
    <row r="2073" spans="1:10" ht="19.350000000000001" customHeight="1">
      <c r="A2073" s="102"/>
      <c r="B2073" s="102"/>
      <c r="C2073" s="116"/>
      <c r="F2073" s="107"/>
      <c r="G2073" s="10"/>
      <c r="H2073" s="103"/>
      <c r="I2073" s="108">
        <f>Tableau3[[#This Row],[Stock final]]*Tableau3[[#This Row],[P.U.]]</f>
        <v>0</v>
      </c>
      <c r="J2073" s="184"/>
    </row>
    <row r="2074" spans="1:10" ht="19.350000000000001" customHeight="1">
      <c r="A2074" s="102"/>
      <c r="B2074" s="102"/>
      <c r="C2074" s="116"/>
      <c r="F2074" s="107"/>
      <c r="G2074" s="10"/>
      <c r="H2074" s="103"/>
      <c r="I2074" s="108">
        <f>Tableau3[[#This Row],[Stock final]]*Tableau3[[#This Row],[P.U.]]</f>
        <v>0</v>
      </c>
      <c r="J2074" s="184"/>
    </row>
    <row r="2075" spans="1:10" ht="19.350000000000001" customHeight="1">
      <c r="A2075" s="102"/>
      <c r="B2075" s="102"/>
      <c r="C2075" s="116"/>
      <c r="F2075" s="107"/>
      <c r="G2075" s="10"/>
      <c r="H2075" s="103"/>
      <c r="I2075" s="108">
        <f>Tableau3[[#This Row],[Stock final]]*Tableau3[[#This Row],[P.U.]]</f>
        <v>0</v>
      </c>
      <c r="J2075" s="184"/>
    </row>
    <row r="2076" spans="1:10" ht="19.350000000000001" customHeight="1">
      <c r="A2076" s="102"/>
      <c r="B2076" s="102"/>
      <c r="C2076" s="116"/>
      <c r="F2076" s="107"/>
      <c r="G2076" s="10"/>
      <c r="H2076" s="103"/>
      <c r="I2076" s="108">
        <f>Tableau3[[#This Row],[Stock final]]*Tableau3[[#This Row],[P.U.]]</f>
        <v>0</v>
      </c>
      <c r="J2076" s="184"/>
    </row>
    <row r="2077" spans="1:10" ht="19.350000000000001" customHeight="1">
      <c r="A2077" s="102"/>
      <c r="B2077" s="102"/>
      <c r="C2077" s="116"/>
      <c r="F2077" s="107"/>
      <c r="G2077" s="10"/>
      <c r="H2077" s="103"/>
      <c r="I2077" s="108">
        <f>Tableau3[[#This Row],[Stock final]]*Tableau3[[#This Row],[P.U.]]</f>
        <v>0</v>
      </c>
      <c r="J2077" s="184"/>
    </row>
    <row r="2078" spans="1:10" ht="19.350000000000001" customHeight="1">
      <c r="A2078" s="102"/>
      <c r="B2078" s="102"/>
      <c r="C2078" s="116"/>
      <c r="F2078" s="107"/>
      <c r="G2078" s="10"/>
      <c r="H2078" s="103"/>
      <c r="I2078" s="108">
        <f>Tableau3[[#This Row],[Stock final]]*Tableau3[[#This Row],[P.U.]]</f>
        <v>0</v>
      </c>
      <c r="J2078" s="184"/>
    </row>
    <row r="2079" spans="1:10" ht="19.350000000000001" customHeight="1">
      <c r="A2079" s="102"/>
      <c r="B2079" s="102"/>
      <c r="C2079" s="116"/>
      <c r="F2079" s="107"/>
      <c r="G2079" s="10"/>
      <c r="H2079" s="103"/>
      <c r="I2079" s="108">
        <f>Tableau3[[#This Row],[Stock final]]*Tableau3[[#This Row],[P.U.]]</f>
        <v>0</v>
      </c>
      <c r="J2079" s="184"/>
    </row>
    <row r="2080" spans="1:10" ht="19.350000000000001" customHeight="1">
      <c r="A2080" s="102"/>
      <c r="B2080" s="102"/>
      <c r="C2080" s="116"/>
      <c r="F2080" s="107"/>
      <c r="G2080" s="10"/>
      <c r="H2080" s="103"/>
      <c r="I2080" s="108">
        <f>Tableau3[[#This Row],[Stock final]]*Tableau3[[#This Row],[P.U.]]</f>
        <v>0</v>
      </c>
      <c r="J2080" s="184"/>
    </row>
    <row r="2081" spans="1:10" ht="19.350000000000001" customHeight="1">
      <c r="A2081" s="102"/>
      <c r="B2081" s="102"/>
      <c r="C2081" s="116"/>
      <c r="F2081" s="107"/>
      <c r="G2081" s="10"/>
      <c r="H2081" s="103"/>
      <c r="I2081" s="108">
        <f>Tableau3[[#This Row],[Stock final]]*Tableau3[[#This Row],[P.U.]]</f>
        <v>0</v>
      </c>
      <c r="J2081" s="184"/>
    </row>
    <row r="2082" spans="1:10" ht="19.350000000000001" customHeight="1">
      <c r="A2082" s="102"/>
      <c r="B2082" s="102"/>
      <c r="C2082" s="116"/>
      <c r="F2082" s="107"/>
      <c r="G2082" s="10"/>
      <c r="H2082" s="103"/>
      <c r="I2082" s="108">
        <f>Tableau3[[#This Row],[Stock final]]*Tableau3[[#This Row],[P.U.]]</f>
        <v>0</v>
      </c>
      <c r="J2082" s="184"/>
    </row>
    <row r="2083" spans="1:10" ht="19.350000000000001" customHeight="1">
      <c r="A2083" s="102"/>
      <c r="B2083" s="102"/>
      <c r="C2083" s="116"/>
      <c r="F2083" s="107"/>
      <c r="G2083" s="10"/>
      <c r="H2083" s="103"/>
      <c r="I2083" s="108">
        <f>Tableau3[[#This Row],[Stock final]]*Tableau3[[#This Row],[P.U.]]</f>
        <v>0</v>
      </c>
      <c r="J2083" s="184"/>
    </row>
    <row r="2084" spans="1:10" ht="19.350000000000001" customHeight="1">
      <c r="A2084" s="102"/>
      <c r="B2084" s="102"/>
      <c r="C2084" s="116"/>
      <c r="F2084" s="107"/>
      <c r="G2084" s="10"/>
      <c r="H2084" s="103"/>
      <c r="I2084" s="108">
        <f>Tableau3[[#This Row],[Stock final]]*Tableau3[[#This Row],[P.U.]]</f>
        <v>0</v>
      </c>
      <c r="J2084" s="184"/>
    </row>
    <row r="2085" spans="1:10" ht="19.350000000000001" customHeight="1">
      <c r="A2085" s="102"/>
      <c r="B2085" s="102"/>
      <c r="C2085" s="116"/>
      <c r="F2085" s="107"/>
      <c r="G2085" s="10"/>
      <c r="H2085" s="103"/>
      <c r="I2085" s="108">
        <f>Tableau3[[#This Row],[Stock final]]*Tableau3[[#This Row],[P.U.]]</f>
        <v>0</v>
      </c>
      <c r="J2085" s="184"/>
    </row>
    <row r="2086" spans="1:10" ht="19.350000000000001" customHeight="1">
      <c r="A2086" s="102"/>
      <c r="B2086" s="102"/>
      <c r="C2086" s="116"/>
      <c r="F2086" s="107"/>
      <c r="G2086" s="10"/>
      <c r="H2086" s="103"/>
      <c r="I2086" s="108">
        <f>Tableau3[[#This Row],[Stock final]]*Tableau3[[#This Row],[P.U.]]</f>
        <v>0</v>
      </c>
      <c r="J2086" s="184"/>
    </row>
    <row r="2087" spans="1:10" ht="19.350000000000001" customHeight="1">
      <c r="A2087" s="102"/>
      <c r="B2087" s="102"/>
      <c r="C2087" s="116"/>
      <c r="F2087" s="107"/>
      <c r="G2087" s="10"/>
      <c r="H2087" s="103"/>
      <c r="I2087" s="108">
        <f>Tableau3[[#This Row],[Stock final]]*Tableau3[[#This Row],[P.U.]]</f>
        <v>0</v>
      </c>
      <c r="J2087" s="184"/>
    </row>
    <row r="2088" spans="1:10" ht="19.350000000000001" customHeight="1">
      <c r="A2088" s="102"/>
      <c r="B2088" s="102"/>
      <c r="C2088" s="116"/>
      <c r="F2088" s="107"/>
      <c r="G2088" s="10"/>
      <c r="H2088" s="103"/>
      <c r="I2088" s="108">
        <f>Tableau3[[#This Row],[Stock final]]*Tableau3[[#This Row],[P.U.]]</f>
        <v>0</v>
      </c>
      <c r="J2088" s="184"/>
    </row>
    <row r="2089" spans="1:10" ht="19.350000000000001" customHeight="1">
      <c r="A2089" s="102"/>
      <c r="B2089" s="102"/>
      <c r="C2089" s="116"/>
      <c r="F2089" s="107"/>
      <c r="G2089" s="10"/>
      <c r="H2089" s="103"/>
      <c r="I2089" s="108">
        <f>Tableau3[[#This Row],[Stock final]]*Tableau3[[#This Row],[P.U.]]</f>
        <v>0</v>
      </c>
      <c r="J2089" s="184"/>
    </row>
    <row r="2090" spans="1:10" ht="19.350000000000001" customHeight="1">
      <c r="A2090" s="102"/>
      <c r="B2090" s="102"/>
      <c r="C2090" s="116"/>
      <c r="F2090" s="107"/>
      <c r="G2090" s="10"/>
      <c r="H2090" s="103"/>
      <c r="I2090" s="108">
        <f>Tableau3[[#This Row],[Stock final]]*Tableau3[[#This Row],[P.U.]]</f>
        <v>0</v>
      </c>
      <c r="J2090" s="184"/>
    </row>
    <row r="2091" spans="1:10" ht="19.350000000000001" customHeight="1">
      <c r="A2091" s="102"/>
      <c r="B2091" s="102"/>
      <c r="C2091" s="116"/>
      <c r="F2091" s="107"/>
      <c r="G2091" s="10"/>
      <c r="H2091" s="103"/>
      <c r="I2091" s="108">
        <f>Tableau3[[#This Row],[Stock final]]*Tableau3[[#This Row],[P.U.]]</f>
        <v>0</v>
      </c>
      <c r="J2091" s="184"/>
    </row>
    <row r="2092" spans="1:10" ht="19.350000000000001" customHeight="1">
      <c r="A2092" s="102"/>
      <c r="B2092" s="102"/>
      <c r="C2092" s="116"/>
      <c r="F2092" s="107"/>
      <c r="G2092" s="10"/>
      <c r="H2092" s="103"/>
      <c r="I2092" s="108">
        <f>Tableau3[[#This Row],[Stock final]]*Tableau3[[#This Row],[P.U.]]</f>
        <v>0</v>
      </c>
      <c r="J2092" s="184"/>
    </row>
    <row r="2093" spans="1:10" ht="19.350000000000001" customHeight="1">
      <c r="A2093" s="102"/>
      <c r="B2093" s="102"/>
      <c r="C2093" s="116"/>
      <c r="F2093" s="107"/>
      <c r="G2093" s="10"/>
      <c r="H2093" s="103"/>
      <c r="I2093" s="108">
        <f>Tableau3[[#This Row],[Stock final]]*Tableau3[[#This Row],[P.U.]]</f>
        <v>0</v>
      </c>
      <c r="J2093" s="184"/>
    </row>
    <row r="2094" spans="1:10" ht="19.350000000000001" customHeight="1">
      <c r="A2094" s="102"/>
      <c r="B2094" s="102"/>
      <c r="C2094" s="116"/>
      <c r="F2094" s="107"/>
      <c r="G2094" s="10"/>
      <c r="H2094" s="103"/>
      <c r="I2094" s="108">
        <f>Tableau3[[#This Row],[Stock final]]*Tableau3[[#This Row],[P.U.]]</f>
        <v>0</v>
      </c>
      <c r="J2094" s="184"/>
    </row>
    <row r="2095" spans="1:10" ht="19.350000000000001" customHeight="1">
      <c r="A2095" s="102"/>
      <c r="B2095" s="102"/>
      <c r="C2095" s="116"/>
      <c r="F2095" s="107"/>
      <c r="G2095" s="10"/>
      <c r="H2095" s="103"/>
      <c r="I2095" s="108">
        <f>Tableau3[[#This Row],[Stock final]]*Tableau3[[#This Row],[P.U.]]</f>
        <v>0</v>
      </c>
      <c r="J2095" s="184"/>
    </row>
    <row r="2096" spans="1:10" ht="19.350000000000001" customHeight="1">
      <c r="A2096" s="102"/>
      <c r="B2096" s="102"/>
      <c r="C2096" s="116"/>
      <c r="F2096" s="107"/>
      <c r="G2096" s="10"/>
      <c r="H2096" s="103"/>
      <c r="I2096" s="108">
        <f>Tableau3[[#This Row],[Stock final]]*Tableau3[[#This Row],[P.U.]]</f>
        <v>0</v>
      </c>
      <c r="J2096" s="184"/>
    </row>
    <row r="2097" spans="1:10" ht="19.350000000000001" customHeight="1">
      <c r="A2097" s="102"/>
      <c r="B2097" s="102"/>
      <c r="C2097" s="116"/>
      <c r="F2097" s="107"/>
      <c r="G2097" s="10"/>
      <c r="H2097" s="103"/>
      <c r="I2097" s="108">
        <f>Tableau3[[#This Row],[Stock final]]*Tableau3[[#This Row],[P.U.]]</f>
        <v>0</v>
      </c>
      <c r="J2097" s="184"/>
    </row>
    <row r="2098" spans="1:10" ht="19.350000000000001" customHeight="1">
      <c r="A2098" s="102"/>
      <c r="B2098" s="102"/>
      <c r="C2098" s="116"/>
      <c r="F2098" s="107"/>
      <c r="G2098" s="10"/>
      <c r="H2098" s="103"/>
      <c r="I2098" s="108">
        <f>Tableau3[[#This Row],[Stock final]]*Tableau3[[#This Row],[P.U.]]</f>
        <v>0</v>
      </c>
      <c r="J2098" s="184"/>
    </row>
    <row r="2099" spans="1:10" ht="19.350000000000001" customHeight="1">
      <c r="A2099" s="102"/>
      <c r="B2099" s="102"/>
      <c r="C2099" s="116"/>
      <c r="F2099" s="107"/>
      <c r="G2099" s="10"/>
      <c r="H2099" s="103"/>
      <c r="I2099" s="108">
        <f>Tableau3[[#This Row],[Stock final]]*Tableau3[[#This Row],[P.U.]]</f>
        <v>0</v>
      </c>
      <c r="J2099" s="184"/>
    </row>
    <row r="2100" spans="1:10" ht="19.350000000000001" customHeight="1">
      <c r="A2100" s="102"/>
      <c r="B2100" s="102"/>
      <c r="C2100" s="116"/>
      <c r="F2100" s="107"/>
      <c r="G2100" s="10"/>
      <c r="H2100" s="103"/>
      <c r="I2100" s="108">
        <f>Tableau3[[#This Row],[Stock final]]*Tableau3[[#This Row],[P.U.]]</f>
        <v>0</v>
      </c>
      <c r="J2100" s="184"/>
    </row>
    <row r="2101" spans="1:10" ht="19.350000000000001" customHeight="1">
      <c r="A2101" s="102"/>
      <c r="B2101" s="102"/>
      <c r="C2101" s="116"/>
      <c r="F2101" s="107"/>
      <c r="G2101" s="10"/>
      <c r="H2101" s="103"/>
      <c r="I2101" s="108">
        <f>Tableau3[[#This Row],[Stock final]]*Tableau3[[#This Row],[P.U.]]</f>
        <v>0</v>
      </c>
      <c r="J2101" s="184"/>
    </row>
    <row r="2102" spans="1:10" ht="19.350000000000001" customHeight="1">
      <c r="A2102" s="102"/>
      <c r="B2102" s="102"/>
      <c r="C2102" s="116"/>
      <c r="F2102" s="107"/>
      <c r="G2102" s="10"/>
      <c r="H2102" s="103"/>
      <c r="I2102" s="108">
        <f>Tableau3[[#This Row],[Stock final]]*Tableau3[[#This Row],[P.U.]]</f>
        <v>0</v>
      </c>
      <c r="J2102" s="184"/>
    </row>
    <row r="2103" spans="1:10" ht="19.350000000000001" customHeight="1">
      <c r="A2103" s="102"/>
      <c r="B2103" s="102"/>
      <c r="C2103" s="116"/>
      <c r="F2103" s="107"/>
      <c r="G2103" s="10"/>
      <c r="H2103" s="103"/>
      <c r="I2103" s="108">
        <f>Tableau3[[#This Row],[Stock final]]*Tableau3[[#This Row],[P.U.]]</f>
        <v>0</v>
      </c>
      <c r="J2103" s="184"/>
    </row>
    <row r="2104" spans="1:10" ht="19.350000000000001" customHeight="1">
      <c r="A2104" s="102"/>
      <c r="B2104" s="102"/>
      <c r="C2104" s="116"/>
      <c r="F2104" s="107"/>
      <c r="G2104" s="10"/>
      <c r="H2104" s="103"/>
      <c r="I2104" s="108">
        <f>Tableau3[[#This Row],[Stock final]]*Tableau3[[#This Row],[P.U.]]</f>
        <v>0</v>
      </c>
      <c r="J2104" s="184"/>
    </row>
    <row r="2105" spans="1:10" ht="19.350000000000001" customHeight="1">
      <c r="A2105" s="102"/>
      <c r="B2105" s="102"/>
      <c r="C2105" s="116"/>
      <c r="F2105" s="107"/>
      <c r="G2105" s="10"/>
      <c r="H2105" s="103"/>
      <c r="I2105" s="108">
        <f>Tableau3[[#This Row],[Stock final]]*Tableau3[[#This Row],[P.U.]]</f>
        <v>0</v>
      </c>
      <c r="J2105" s="184"/>
    </row>
    <row r="2106" spans="1:10" ht="19.350000000000001" customHeight="1">
      <c r="A2106" s="102"/>
      <c r="B2106" s="102"/>
      <c r="C2106" s="116"/>
      <c r="F2106" s="107"/>
      <c r="G2106" s="10"/>
      <c r="H2106" s="103"/>
      <c r="I2106" s="108">
        <f>Tableau3[[#This Row],[Stock final]]*Tableau3[[#This Row],[P.U.]]</f>
        <v>0</v>
      </c>
      <c r="J2106" s="184"/>
    </row>
    <row r="2107" spans="1:10" ht="19.350000000000001" customHeight="1">
      <c r="A2107" s="102"/>
      <c r="B2107" s="102"/>
      <c r="C2107" s="116"/>
      <c r="F2107" s="107"/>
      <c r="G2107" s="10"/>
      <c r="H2107" s="103"/>
      <c r="I2107" s="108">
        <f>Tableau3[[#This Row],[Stock final]]*Tableau3[[#This Row],[P.U.]]</f>
        <v>0</v>
      </c>
      <c r="J2107" s="184"/>
    </row>
    <row r="2108" spans="1:10" ht="19.350000000000001" customHeight="1">
      <c r="A2108" s="102"/>
      <c r="B2108" s="102"/>
      <c r="C2108" s="116"/>
      <c r="F2108" s="107"/>
      <c r="G2108" s="10"/>
      <c r="H2108" s="103"/>
      <c r="I2108" s="108">
        <f>Tableau3[[#This Row],[Stock final]]*Tableau3[[#This Row],[P.U.]]</f>
        <v>0</v>
      </c>
      <c r="J2108" s="184"/>
    </row>
    <row r="2109" spans="1:10" ht="19.350000000000001" customHeight="1">
      <c r="A2109" s="102"/>
      <c r="B2109" s="102" t="s">
        <v>1029</v>
      </c>
      <c r="C2109" s="116" t="s">
        <v>1178</v>
      </c>
      <c r="D2109" s="11" t="s">
        <v>1177</v>
      </c>
      <c r="F2109" s="107"/>
      <c r="G2109" s="10"/>
      <c r="H2109" s="103">
        <v>106.7</v>
      </c>
      <c r="I2109" s="108">
        <f>Tableau3[[#This Row],[Stock final]]*Tableau3[[#This Row],[P.U.]]</f>
        <v>0</v>
      </c>
      <c r="J2109" s="184"/>
    </row>
    <row r="2110" spans="1:10" ht="19.350000000000001" customHeight="1">
      <c r="A2110" s="102"/>
      <c r="B2110" s="105" t="s">
        <v>1029</v>
      </c>
      <c r="C2110" s="116" t="s">
        <v>1030</v>
      </c>
      <c r="D2110" s="124" t="s">
        <v>1031</v>
      </c>
      <c r="F2110" s="107"/>
      <c r="G2110" s="10">
        <v>1</v>
      </c>
      <c r="H2110" s="103">
        <v>47.18</v>
      </c>
      <c r="I2110" s="108">
        <f>Tableau3[[#This Row],[Stock final]]*Tableau3[[#This Row],[P.U.]]</f>
        <v>47.18</v>
      </c>
      <c r="J2110" s="184"/>
    </row>
    <row r="2111" spans="1:10" ht="19.350000000000001" customHeight="1">
      <c r="A2111" s="102"/>
      <c r="B2111" s="102" t="s">
        <v>1029</v>
      </c>
      <c r="C2111" s="116" t="s">
        <v>1032</v>
      </c>
      <c r="D2111" s="114" t="s">
        <v>1033</v>
      </c>
      <c r="E2111" s="113" t="s">
        <v>341</v>
      </c>
      <c r="F2111" s="107"/>
      <c r="G2111" s="10"/>
      <c r="H2111" s="103">
        <v>3.09</v>
      </c>
      <c r="I2111" s="108">
        <f>Tableau3[[#This Row],[Stock final]]*Tableau3[[#This Row],[P.U.]]</f>
        <v>0</v>
      </c>
      <c r="J2111" s="184"/>
    </row>
    <row r="2112" spans="1:10" ht="19.350000000000001" customHeight="1">
      <c r="A2112" s="102"/>
      <c r="B2112" s="102" t="s">
        <v>1029</v>
      </c>
      <c r="C2112" s="116" t="s">
        <v>1034</v>
      </c>
      <c r="D2112" s="114" t="s">
        <v>1035</v>
      </c>
      <c r="E2112" s="113" t="s">
        <v>341</v>
      </c>
      <c r="F2112" s="107"/>
      <c r="G2112" s="10">
        <v>2</v>
      </c>
      <c r="H2112" s="103">
        <v>11</v>
      </c>
      <c r="I2112" s="108">
        <f>Tableau3[[#This Row],[Stock final]]*Tableau3[[#This Row],[P.U.]]</f>
        <v>22</v>
      </c>
      <c r="J2112" s="184"/>
    </row>
    <row r="2113" spans="1:10" ht="19.350000000000001" customHeight="1">
      <c r="A2113" s="102"/>
      <c r="B2113" s="102" t="s">
        <v>1029</v>
      </c>
      <c r="C2113" s="116" t="s">
        <v>1036</v>
      </c>
      <c r="D2113" s="114" t="s">
        <v>1037</v>
      </c>
      <c r="E2113" s="113" t="s">
        <v>341</v>
      </c>
      <c r="F2113" s="107"/>
      <c r="G2113" s="10">
        <v>4</v>
      </c>
      <c r="H2113" s="103">
        <v>28.75</v>
      </c>
      <c r="I2113" s="108">
        <f>Tableau3[[#This Row],[Stock final]]*Tableau3[[#This Row],[P.U.]]</f>
        <v>115</v>
      </c>
      <c r="J2113" s="184"/>
    </row>
    <row r="2114" spans="1:10" ht="19.350000000000001" customHeight="1">
      <c r="A2114" s="102"/>
      <c r="B2114" s="102" t="s">
        <v>1029</v>
      </c>
      <c r="C2114" s="116" t="s">
        <v>1038</v>
      </c>
      <c r="D2114" s="114" t="s">
        <v>1039</v>
      </c>
      <c r="E2114" s="113" t="s">
        <v>1040</v>
      </c>
      <c r="F2114" s="107"/>
      <c r="G2114" s="10"/>
      <c r="H2114" s="103">
        <v>5.88</v>
      </c>
      <c r="I2114" s="108">
        <f>Tableau3[[#This Row],[Stock final]]*Tableau3[[#This Row],[P.U.]]</f>
        <v>0</v>
      </c>
      <c r="J2114" s="184"/>
    </row>
    <row r="2115" spans="1:10" ht="19.350000000000001" customHeight="1">
      <c r="A2115" s="102"/>
      <c r="B2115" s="102" t="s">
        <v>1029</v>
      </c>
      <c r="C2115" s="116" t="s">
        <v>1041</v>
      </c>
      <c r="D2115" s="114" t="s">
        <v>1042</v>
      </c>
      <c r="E2115" s="113" t="s">
        <v>1043</v>
      </c>
      <c r="F2115" s="107"/>
      <c r="G2115" s="10"/>
      <c r="H2115" s="103">
        <v>54.23</v>
      </c>
      <c r="I2115" s="108">
        <f>Tableau3[[#This Row],[Stock final]]*Tableau3[[#This Row],[P.U.]]</f>
        <v>0</v>
      </c>
      <c r="J2115" s="184"/>
    </row>
    <row r="2116" spans="1:10" ht="19.350000000000001" customHeight="1">
      <c r="A2116" s="102"/>
      <c r="B2116" s="102" t="s">
        <v>1029</v>
      </c>
      <c r="C2116" s="121" t="s">
        <v>1044</v>
      </c>
      <c r="D2116" s="114" t="s">
        <v>1042</v>
      </c>
      <c r="E2116" s="113" t="s">
        <v>315</v>
      </c>
      <c r="F2116" s="107"/>
      <c r="G2116" s="10">
        <v>24</v>
      </c>
      <c r="H2116" s="103">
        <v>54.23</v>
      </c>
      <c r="I2116" s="108">
        <f>Tableau3[[#This Row],[Stock final]]*Tableau3[[#This Row],[P.U.]]</f>
        <v>1301.52</v>
      </c>
      <c r="J2116" s="184"/>
    </row>
    <row r="2117" spans="1:10" ht="19.350000000000001" customHeight="1">
      <c r="A2117" s="102"/>
      <c r="B2117" s="102" t="s">
        <v>1029</v>
      </c>
      <c r="C2117" s="116" t="s">
        <v>1045</v>
      </c>
      <c r="D2117" s="180" t="s">
        <v>1046</v>
      </c>
      <c r="F2117" s="107"/>
      <c r="G2117" s="10">
        <v>9</v>
      </c>
      <c r="H2117" s="103">
        <v>77.260000000000005</v>
      </c>
      <c r="I2117" s="108">
        <f>Tableau3[[#This Row],[Stock final]]*Tableau3[[#This Row],[P.U.]]</f>
        <v>695.34</v>
      </c>
      <c r="J2117" s="184"/>
    </row>
    <row r="2118" spans="1:10" ht="19.350000000000001" customHeight="1">
      <c r="A2118" s="102"/>
      <c r="B2118" s="102" t="s">
        <v>1029</v>
      </c>
      <c r="C2118" s="121" t="s">
        <v>1047</v>
      </c>
      <c r="D2118" s="180" t="s">
        <v>1048</v>
      </c>
      <c r="F2118" s="107"/>
      <c r="G2118" s="10">
        <v>13</v>
      </c>
      <c r="H2118" s="103">
        <v>116.15</v>
      </c>
      <c r="I2118" s="108">
        <f>Tableau3[[#This Row],[Stock final]]*Tableau3[[#This Row],[P.U.]]</f>
        <v>1509.95</v>
      </c>
      <c r="J2118" s="184"/>
    </row>
    <row r="2119" spans="1:10" ht="19.350000000000001" customHeight="1">
      <c r="A2119" s="102"/>
      <c r="B2119" s="102" t="s">
        <v>1029</v>
      </c>
      <c r="C2119" s="121" t="s">
        <v>1049</v>
      </c>
      <c r="D2119" s="180" t="s">
        <v>1050</v>
      </c>
      <c r="F2119" s="107"/>
      <c r="G2119" s="10">
        <v>11</v>
      </c>
      <c r="H2119" s="103">
        <v>141.59</v>
      </c>
      <c r="I2119" s="108">
        <f>Tableau3[[#This Row],[Stock final]]*Tableau3[[#This Row],[P.U.]]</f>
        <v>1557.49</v>
      </c>
      <c r="J2119" s="184"/>
    </row>
    <row r="2120" spans="1:10" ht="19.350000000000001" customHeight="1">
      <c r="A2120" s="102"/>
      <c r="B2120" s="102" t="s">
        <v>1029</v>
      </c>
      <c r="C2120" s="121" t="s">
        <v>1051</v>
      </c>
      <c r="D2120" s="180" t="s">
        <v>1052</v>
      </c>
      <c r="E2120" s="113" t="s">
        <v>315</v>
      </c>
      <c r="F2120" s="107"/>
      <c r="G2120" s="10">
        <v>1</v>
      </c>
      <c r="H2120" s="103">
        <v>55.23</v>
      </c>
      <c r="I2120" s="108">
        <f>Tableau3[[#This Row],[Stock final]]*Tableau3[[#This Row],[P.U.]]</f>
        <v>55.23</v>
      </c>
      <c r="J2120" s="184"/>
    </row>
    <row r="2121" spans="1:10" ht="19.350000000000001" customHeight="1">
      <c r="A2121" s="102"/>
      <c r="B2121" s="102" t="s">
        <v>1029</v>
      </c>
      <c r="C2121" s="121" t="s">
        <v>1053</v>
      </c>
      <c r="D2121" s="180" t="s">
        <v>1054</v>
      </c>
      <c r="E2121" s="113" t="s">
        <v>315</v>
      </c>
      <c r="F2121" s="107"/>
      <c r="G2121" s="10"/>
      <c r="H2121" s="103">
        <v>30.86</v>
      </c>
      <c r="I2121" s="108">
        <f>Tableau3[[#This Row],[Stock final]]*Tableau3[[#This Row],[P.U.]]</f>
        <v>0</v>
      </c>
      <c r="J2121" s="184"/>
    </row>
    <row r="2122" spans="1:10" ht="19.350000000000001" customHeight="1">
      <c r="A2122" s="102"/>
      <c r="B2122" s="102" t="s">
        <v>1029</v>
      </c>
      <c r="C2122" s="106" t="s">
        <v>1055</v>
      </c>
      <c r="D2122" s="180" t="s">
        <v>1056</v>
      </c>
      <c r="F2122" s="107"/>
      <c r="G2122" s="10"/>
      <c r="H2122" s="103">
        <v>69.459999999999994</v>
      </c>
      <c r="I2122" s="108">
        <f>Tableau3[[#This Row],[Stock final]]*Tableau3[[#This Row],[P.U.]]</f>
        <v>0</v>
      </c>
      <c r="J2122" s="184"/>
    </row>
    <row r="2123" spans="1:10" ht="19.350000000000001" customHeight="1">
      <c r="A2123" s="102"/>
      <c r="B2123" s="102" t="s">
        <v>1029</v>
      </c>
      <c r="C2123" s="106" t="s">
        <v>1057</v>
      </c>
      <c r="D2123" s="180" t="s">
        <v>1058</v>
      </c>
      <c r="F2123" s="107"/>
      <c r="G2123" s="10"/>
      <c r="H2123" s="103">
        <v>69.459999999999994</v>
      </c>
      <c r="I2123" s="108">
        <f>Tableau3[[#This Row],[Stock final]]*Tableau3[[#This Row],[P.U.]]</f>
        <v>0</v>
      </c>
      <c r="J2123" s="184"/>
    </row>
    <row r="2124" spans="1:10" ht="19.350000000000001" customHeight="1">
      <c r="A2124" s="102"/>
      <c r="B2124" s="102" t="s">
        <v>1029</v>
      </c>
      <c r="C2124" s="106" t="s">
        <v>1059</v>
      </c>
      <c r="D2124" s="181" t="s">
        <v>1060</v>
      </c>
      <c r="F2124" s="107"/>
      <c r="G2124" s="10"/>
      <c r="H2124" s="103">
        <v>34.619999999999997</v>
      </c>
      <c r="I2124" s="108">
        <f>Tableau3[[#This Row],[Stock final]]*Tableau3[[#This Row],[P.U.]]</f>
        <v>0</v>
      </c>
      <c r="J2124" s="184"/>
    </row>
    <row r="2125" spans="1:10" ht="19.350000000000001" customHeight="1">
      <c r="A2125" s="102"/>
      <c r="B2125" s="102" t="s">
        <v>1029</v>
      </c>
      <c r="C2125" s="106" t="s">
        <v>1061</v>
      </c>
      <c r="D2125" s="181" t="s">
        <v>1062</v>
      </c>
      <c r="F2125" s="107"/>
      <c r="G2125" s="10"/>
      <c r="H2125" s="103">
        <v>48.4</v>
      </c>
      <c r="I2125" s="108">
        <f>Tableau3[[#This Row],[Stock final]]*Tableau3[[#This Row],[P.U.]]</f>
        <v>0</v>
      </c>
      <c r="J2125" s="184"/>
    </row>
    <row r="2126" spans="1:10" ht="19.350000000000001" customHeight="1">
      <c r="A2126" s="102"/>
      <c r="B2126" s="102" t="s">
        <v>1029</v>
      </c>
      <c r="C2126" s="106" t="s">
        <v>1063</v>
      </c>
      <c r="D2126" s="181" t="s">
        <v>1064</v>
      </c>
      <c r="F2126" s="107"/>
      <c r="G2126" s="10"/>
      <c r="H2126" s="103">
        <v>80.52</v>
      </c>
      <c r="I2126" s="108">
        <f>Tableau3[[#This Row],[Stock final]]*Tableau3[[#This Row],[P.U.]]</f>
        <v>0</v>
      </c>
      <c r="J2126" s="184"/>
    </row>
    <row r="2127" spans="1:10" ht="19.350000000000001" customHeight="1">
      <c r="A2127" s="102"/>
      <c r="B2127" s="102" t="s">
        <v>1029</v>
      </c>
      <c r="C2127" s="106" t="s">
        <v>1065</v>
      </c>
      <c r="D2127" s="181" t="s">
        <v>1066</v>
      </c>
      <c r="F2127" s="107"/>
      <c r="G2127" s="10"/>
      <c r="H2127" s="103">
        <v>66.88</v>
      </c>
      <c r="I2127" s="108">
        <f>Tableau3[[#This Row],[Stock final]]*Tableau3[[#This Row],[P.U.]]</f>
        <v>0</v>
      </c>
      <c r="J2127" s="184"/>
    </row>
    <row r="2128" spans="1:10" ht="19.350000000000001" customHeight="1">
      <c r="A2128" s="102"/>
      <c r="B2128" s="102" t="s">
        <v>1029</v>
      </c>
      <c r="C2128" s="116" t="s">
        <v>1439</v>
      </c>
      <c r="D2128" s="11" t="s">
        <v>1440</v>
      </c>
      <c r="E2128" s="113" t="s">
        <v>341</v>
      </c>
      <c r="F2128" s="107"/>
      <c r="G2128" s="10">
        <v>2</v>
      </c>
      <c r="H2128" s="103">
        <v>57.68</v>
      </c>
      <c r="I2128" s="108">
        <f>Tableau3[[#This Row],[Stock final]]*Tableau3[[#This Row],[P.U.]]</f>
        <v>115.36</v>
      </c>
      <c r="J2128" s="184"/>
    </row>
    <row r="2129" spans="1:10" ht="19.350000000000001" customHeight="1">
      <c r="A2129" s="102"/>
      <c r="B2129" s="102" t="s">
        <v>1029</v>
      </c>
      <c r="C2129" s="116" t="s">
        <v>1577</v>
      </c>
      <c r="D2129" s="11" t="s">
        <v>1441</v>
      </c>
      <c r="F2129" s="107"/>
      <c r="G2129" s="10">
        <v>2</v>
      </c>
      <c r="H2129" s="103">
        <v>22.9</v>
      </c>
      <c r="I2129" s="108">
        <f>Tableau3[[#This Row],[Stock final]]*Tableau3[[#This Row],[P.U.]]</f>
        <v>45.8</v>
      </c>
      <c r="J2129" s="184"/>
    </row>
    <row r="2130" spans="1:10" ht="19.350000000000001" customHeight="1">
      <c r="A2130" s="102"/>
      <c r="B2130" s="102" t="s">
        <v>1029</v>
      </c>
      <c r="C2130" s="116" t="s">
        <v>1442</v>
      </c>
      <c r="D2130" s="11" t="s">
        <v>1443</v>
      </c>
      <c r="F2130" s="107"/>
      <c r="G2130" s="10">
        <v>1</v>
      </c>
      <c r="H2130" s="103">
        <v>26.72</v>
      </c>
      <c r="I2130" s="108">
        <f>Tableau3[[#This Row],[Stock final]]*Tableau3[[#This Row],[P.U.]]</f>
        <v>26.72</v>
      </c>
      <c r="J2130" s="184"/>
    </row>
    <row r="2131" spans="1:10" ht="19.350000000000001" customHeight="1">
      <c r="A2131" s="102"/>
      <c r="B2131" s="102" t="s">
        <v>1029</v>
      </c>
      <c r="C2131" s="116" t="s">
        <v>1444</v>
      </c>
      <c r="D2131" s="11" t="s">
        <v>1445</v>
      </c>
      <c r="F2131" s="107"/>
      <c r="G2131" s="10">
        <v>1</v>
      </c>
      <c r="H2131" s="103">
        <v>24.88</v>
      </c>
      <c r="I2131" s="108">
        <f>Tableau3[[#This Row],[Stock final]]*Tableau3[[#This Row],[P.U.]]</f>
        <v>24.88</v>
      </c>
      <c r="J2131" s="184"/>
    </row>
    <row r="2132" spans="1:10" ht="19.350000000000001" customHeight="1">
      <c r="A2132" s="102"/>
      <c r="B2132" s="102" t="s">
        <v>1029</v>
      </c>
      <c r="C2132" s="116" t="s">
        <v>1446</v>
      </c>
      <c r="D2132" s="11" t="s">
        <v>1447</v>
      </c>
      <c r="F2132" s="107"/>
      <c r="G2132" s="10">
        <v>1</v>
      </c>
      <c r="H2132" s="103">
        <v>21.22</v>
      </c>
      <c r="I2132" s="108">
        <f>Tableau3[[#This Row],[Stock final]]*Tableau3[[#This Row],[P.U.]]</f>
        <v>21.22</v>
      </c>
      <c r="J2132" s="184"/>
    </row>
    <row r="2133" spans="1:10" ht="19.350000000000001" customHeight="1">
      <c r="A2133" s="102"/>
      <c r="B2133" s="102" t="s">
        <v>1029</v>
      </c>
      <c r="C2133" s="116" t="s">
        <v>1448</v>
      </c>
      <c r="D2133" s="11" t="s">
        <v>1449</v>
      </c>
      <c r="F2133" s="107"/>
      <c r="G2133" s="10">
        <v>5</v>
      </c>
      <c r="H2133" s="103">
        <v>61.33</v>
      </c>
      <c r="I2133" s="108">
        <f>Tableau3[[#This Row],[Stock final]]*Tableau3[[#This Row],[P.U.]]</f>
        <v>306.64999999999998</v>
      </c>
      <c r="J2133" s="184"/>
    </row>
    <row r="2134" spans="1:10" ht="19.350000000000001" customHeight="1">
      <c r="A2134" s="102"/>
      <c r="B2134" s="102" t="s">
        <v>1029</v>
      </c>
      <c r="C2134" s="116" t="s">
        <v>1450</v>
      </c>
      <c r="D2134" s="11" t="s">
        <v>1451</v>
      </c>
      <c r="F2134" s="107"/>
      <c r="G2134" s="10">
        <v>3</v>
      </c>
      <c r="H2134" s="103">
        <v>49.23</v>
      </c>
      <c r="I2134" s="108">
        <f>Tableau3[[#This Row],[Stock final]]*Tableau3[[#This Row],[P.U.]]</f>
        <v>147.69</v>
      </c>
      <c r="J2134" s="184"/>
    </row>
    <row r="2135" spans="1:10" ht="19.350000000000001" customHeight="1">
      <c r="A2135" s="102"/>
      <c r="B2135" s="102" t="s">
        <v>1246</v>
      </c>
      <c r="C2135" s="116" t="s">
        <v>1452</v>
      </c>
      <c r="D2135" s="11" t="s">
        <v>1453</v>
      </c>
      <c r="F2135" s="107"/>
      <c r="G2135" s="10">
        <v>3</v>
      </c>
      <c r="H2135" s="103">
        <v>44.22</v>
      </c>
      <c r="I2135" s="108">
        <f>Tableau3[[#This Row],[Stock final]]*Tableau3[[#This Row],[P.U.]]</f>
        <v>132.66</v>
      </c>
      <c r="J2135" s="184"/>
    </row>
    <row r="2136" spans="1:10" ht="19.350000000000001" customHeight="1">
      <c r="A2136" s="102"/>
      <c r="B2136" s="102" t="s">
        <v>1246</v>
      </c>
      <c r="C2136" s="116" t="s">
        <v>1454</v>
      </c>
      <c r="D2136" s="11" t="s">
        <v>1455</v>
      </c>
      <c r="F2136" s="107"/>
      <c r="G2136" s="10">
        <v>1</v>
      </c>
      <c r="H2136" s="103">
        <v>49.2</v>
      </c>
      <c r="I2136" s="108">
        <f>Tableau3[[#This Row],[Stock final]]*Tableau3[[#This Row],[P.U.]]</f>
        <v>49.2</v>
      </c>
      <c r="J2136" s="184"/>
    </row>
    <row r="2137" spans="1:10" ht="19.350000000000001" customHeight="1">
      <c r="A2137" s="102"/>
      <c r="B2137" s="102" t="s">
        <v>1438</v>
      </c>
      <c r="C2137" s="116" t="s">
        <v>1456</v>
      </c>
      <c r="D2137" s="11" t="s">
        <v>1457</v>
      </c>
      <c r="F2137" s="107"/>
      <c r="G2137" s="10">
        <v>1</v>
      </c>
      <c r="H2137" s="103"/>
      <c r="I2137" s="108">
        <f>Tableau3[[#This Row],[Stock final]]*Tableau3[[#This Row],[P.U.]]</f>
        <v>0</v>
      </c>
      <c r="J2137" s="184"/>
    </row>
    <row r="2138" spans="1:10" ht="19.350000000000001" customHeight="1">
      <c r="A2138" s="102"/>
      <c r="B2138" s="102" t="s">
        <v>1271</v>
      </c>
      <c r="C2138" s="116" t="s">
        <v>1578</v>
      </c>
      <c r="D2138" s="11" t="s">
        <v>1458</v>
      </c>
      <c r="F2138" s="107"/>
      <c r="G2138" s="10">
        <v>3</v>
      </c>
      <c r="H2138" s="103"/>
      <c r="I2138" s="108">
        <f>Tableau3[[#This Row],[Stock final]]*Tableau3[[#This Row],[P.U.]]</f>
        <v>0</v>
      </c>
      <c r="J2138" s="184"/>
    </row>
    <row r="2139" spans="1:10" ht="19.350000000000001" customHeight="1">
      <c r="A2139" s="102"/>
      <c r="B2139" s="102" t="s">
        <v>1271</v>
      </c>
      <c r="C2139" s="116" t="s">
        <v>1459</v>
      </c>
      <c r="D2139" s="11" t="s">
        <v>1460</v>
      </c>
      <c r="F2139" s="107"/>
      <c r="G2139" s="10">
        <v>2</v>
      </c>
      <c r="H2139" s="103"/>
      <c r="I2139" s="108">
        <f>Tableau3[[#This Row],[Stock final]]*Tableau3[[#This Row],[P.U.]]</f>
        <v>0</v>
      </c>
      <c r="J2139" s="184"/>
    </row>
    <row r="2140" spans="1:10" ht="19.350000000000001" customHeight="1">
      <c r="A2140" s="102"/>
      <c r="B2140" s="102"/>
      <c r="C2140" s="116"/>
      <c r="F2140" s="107"/>
      <c r="G2140" s="10"/>
      <c r="H2140" s="103"/>
      <c r="I2140" s="108">
        <f>Tableau3[[#This Row],[Stock final]]*Tableau3[[#This Row],[P.U.]]</f>
        <v>0</v>
      </c>
      <c r="J2140" s="184"/>
    </row>
    <row r="2141" spans="1:10" ht="19.350000000000001" customHeight="1">
      <c r="A2141" s="102"/>
      <c r="B2141" s="102"/>
      <c r="C2141" s="116"/>
      <c r="F2141" s="107"/>
      <c r="G2141" s="10"/>
      <c r="H2141" s="103"/>
      <c r="I2141" s="108">
        <f>Tableau3[[#This Row],[Stock final]]*Tableau3[[#This Row],[P.U.]]</f>
        <v>0</v>
      </c>
      <c r="J2141" s="184"/>
    </row>
    <row r="2142" spans="1:10" ht="19.350000000000001" customHeight="1">
      <c r="A2142" s="102"/>
      <c r="B2142" s="102"/>
      <c r="C2142" s="116"/>
      <c r="F2142" s="107"/>
      <c r="G2142" s="10"/>
      <c r="H2142" s="103"/>
      <c r="I2142" s="108">
        <f>Tableau3[[#This Row],[Stock final]]*Tableau3[[#This Row],[P.U.]]</f>
        <v>0</v>
      </c>
      <c r="J2142" s="184"/>
    </row>
    <row r="2143" spans="1:10" ht="19.350000000000001" customHeight="1">
      <c r="A2143" s="102"/>
      <c r="B2143" s="102"/>
      <c r="C2143" s="116"/>
      <c r="F2143" s="107"/>
      <c r="G2143" s="10"/>
      <c r="H2143" s="103"/>
      <c r="I2143" s="108">
        <f>Tableau3[[#This Row],[Stock final]]*Tableau3[[#This Row],[P.U.]]</f>
        <v>0</v>
      </c>
      <c r="J2143" s="184"/>
    </row>
    <row r="2144" spans="1:10" ht="19.350000000000001" customHeight="1">
      <c r="A2144" s="102"/>
      <c r="B2144" s="102"/>
      <c r="C2144" s="116"/>
      <c r="F2144" s="107"/>
      <c r="G2144" s="10"/>
      <c r="H2144" s="103"/>
      <c r="I2144" s="108">
        <f>Tableau3[[#This Row],[Stock final]]*Tableau3[[#This Row],[P.U.]]</f>
        <v>0</v>
      </c>
      <c r="J2144" s="184"/>
    </row>
    <row r="2145" spans="1:10" ht="19.350000000000001" customHeight="1">
      <c r="A2145" s="102"/>
      <c r="B2145" s="102"/>
      <c r="C2145" s="116"/>
      <c r="F2145" s="107"/>
      <c r="G2145" s="10"/>
      <c r="H2145" s="103"/>
      <c r="I2145" s="108">
        <f>Tableau3[[#This Row],[Stock final]]*Tableau3[[#This Row],[P.U.]]</f>
        <v>0</v>
      </c>
      <c r="J2145" s="184"/>
    </row>
    <row r="2146" spans="1:10" ht="19.350000000000001" customHeight="1">
      <c r="A2146" s="102"/>
      <c r="B2146" s="102"/>
      <c r="C2146" s="116"/>
      <c r="F2146" s="107"/>
      <c r="G2146" s="10"/>
      <c r="H2146" s="103"/>
      <c r="I2146" s="108">
        <f>Tableau3[[#This Row],[Stock final]]*Tableau3[[#This Row],[P.U.]]</f>
        <v>0</v>
      </c>
      <c r="J2146" s="184"/>
    </row>
    <row r="2147" spans="1:10" ht="19.350000000000001" customHeight="1">
      <c r="A2147" s="102"/>
      <c r="B2147" s="102"/>
      <c r="C2147" s="116"/>
      <c r="F2147" s="107"/>
      <c r="G2147" s="10"/>
      <c r="H2147" s="103"/>
      <c r="I2147" s="108">
        <f>Tableau3[[#This Row],[Stock final]]*Tableau3[[#This Row],[P.U.]]</f>
        <v>0</v>
      </c>
      <c r="J2147" s="184"/>
    </row>
    <row r="2148" spans="1:10" ht="19.350000000000001" customHeight="1">
      <c r="A2148" s="102"/>
      <c r="B2148" s="102"/>
      <c r="C2148" s="116"/>
      <c r="F2148" s="107"/>
      <c r="G2148" s="10"/>
      <c r="H2148" s="103"/>
      <c r="I2148" s="108">
        <f>Tableau3[[#This Row],[Stock final]]*Tableau3[[#This Row],[P.U.]]</f>
        <v>0</v>
      </c>
      <c r="J2148" s="184"/>
    </row>
    <row r="2149" spans="1:10" ht="19.350000000000001" customHeight="1">
      <c r="A2149" s="102"/>
      <c r="B2149" s="102"/>
      <c r="C2149" s="116"/>
      <c r="F2149" s="107"/>
      <c r="G2149" s="10"/>
      <c r="H2149" s="103"/>
      <c r="I2149" s="108">
        <f>Tableau3[[#This Row],[Stock final]]*Tableau3[[#This Row],[P.U.]]</f>
        <v>0</v>
      </c>
      <c r="J2149" s="184"/>
    </row>
    <row r="2150" spans="1:10" ht="19.350000000000001" customHeight="1">
      <c r="A2150" s="102"/>
      <c r="B2150" s="102"/>
      <c r="C2150" s="116"/>
      <c r="F2150" s="107"/>
      <c r="G2150" s="10"/>
      <c r="H2150" s="103"/>
      <c r="I2150" s="108">
        <f>Tableau3[[#This Row],[Stock final]]*Tableau3[[#This Row],[P.U.]]</f>
        <v>0</v>
      </c>
      <c r="J2150" s="184"/>
    </row>
    <row r="2151" spans="1:10" ht="19.350000000000001" customHeight="1">
      <c r="A2151" s="102"/>
      <c r="B2151" s="102"/>
      <c r="C2151" s="116"/>
      <c r="F2151" s="107"/>
      <c r="G2151" s="10"/>
      <c r="H2151" s="103"/>
      <c r="I2151" s="108">
        <f>Tableau3[[#This Row],[Stock final]]*Tableau3[[#This Row],[P.U.]]</f>
        <v>0</v>
      </c>
      <c r="J2151" s="184"/>
    </row>
    <row r="2152" spans="1:10" ht="19.350000000000001" customHeight="1">
      <c r="A2152" s="102"/>
      <c r="B2152" s="109" t="s">
        <v>1067</v>
      </c>
      <c r="C2152" s="106">
        <v>70226</v>
      </c>
      <c r="D2152" s="181" t="s">
        <v>1068</v>
      </c>
      <c r="F2152" s="107"/>
      <c r="G2152" s="10">
        <v>7</v>
      </c>
      <c r="H2152" s="103">
        <v>62.75</v>
      </c>
      <c r="I2152" s="108">
        <f>Tableau3[[#This Row],[Stock final]]*Tableau3[[#This Row],[P.U.]]</f>
        <v>439.25</v>
      </c>
      <c r="J2152" s="184"/>
    </row>
    <row r="2153" spans="1:10" ht="19.350000000000001" customHeight="1">
      <c r="A2153" s="102"/>
      <c r="B2153" s="105" t="s">
        <v>1067</v>
      </c>
      <c r="C2153" s="106">
        <v>70227</v>
      </c>
      <c r="D2153" s="114" t="s">
        <v>1069</v>
      </c>
      <c r="F2153" s="107"/>
      <c r="G2153" s="10"/>
      <c r="H2153" s="103">
        <v>56.45</v>
      </c>
      <c r="I2153" s="108">
        <f>Tableau3[[#This Row],[Stock final]]*Tableau3[[#This Row],[P.U.]]</f>
        <v>0</v>
      </c>
      <c r="J2153" s="184"/>
    </row>
    <row r="2154" spans="1:10" ht="19.350000000000001" customHeight="1">
      <c r="A2154" s="102"/>
      <c r="B2154" s="102" t="s">
        <v>1067</v>
      </c>
      <c r="C2154" s="106">
        <v>73100</v>
      </c>
      <c r="D2154" s="181" t="s">
        <v>1070</v>
      </c>
      <c r="F2154" s="107"/>
      <c r="G2154" s="10"/>
      <c r="H2154" s="103">
        <v>28.73</v>
      </c>
      <c r="I2154" s="108">
        <f>Tableau3[[#This Row],[Stock final]]*Tableau3[[#This Row],[P.U.]]</f>
        <v>0</v>
      </c>
      <c r="J2154" s="184"/>
    </row>
    <row r="2155" spans="1:10" ht="19.350000000000001" customHeight="1">
      <c r="A2155" s="102"/>
      <c r="B2155" s="102"/>
      <c r="C2155" s="116"/>
      <c r="F2155" s="107"/>
      <c r="G2155" s="10"/>
      <c r="H2155" s="103"/>
      <c r="I2155" s="108">
        <f>Tableau3[[#This Row],[Stock final]]*Tableau3[[#This Row],[P.U.]]</f>
        <v>0</v>
      </c>
      <c r="J2155" s="184"/>
    </row>
    <row r="2156" spans="1:10" ht="19.350000000000001" customHeight="1">
      <c r="A2156" s="102"/>
      <c r="B2156" s="102"/>
      <c r="C2156" s="116"/>
      <c r="F2156" s="107"/>
      <c r="G2156" s="10"/>
      <c r="H2156" s="103"/>
      <c r="I2156" s="108">
        <f>Tableau3[[#This Row],[Stock final]]*Tableau3[[#This Row],[P.U.]]</f>
        <v>0</v>
      </c>
      <c r="J2156" s="184"/>
    </row>
    <row r="2157" spans="1:10" ht="19.350000000000001" customHeight="1">
      <c r="A2157" s="102"/>
      <c r="B2157" s="102"/>
      <c r="C2157" s="116"/>
      <c r="F2157" s="107"/>
      <c r="G2157" s="10"/>
      <c r="H2157" s="103"/>
      <c r="I2157" s="108">
        <f>Tableau3[[#This Row],[Stock final]]*Tableau3[[#This Row],[P.U.]]</f>
        <v>0</v>
      </c>
      <c r="J2157" s="184"/>
    </row>
    <row r="2158" spans="1:10" ht="19.350000000000001" customHeight="1">
      <c r="A2158" s="102"/>
      <c r="B2158" s="102"/>
      <c r="C2158" s="116"/>
      <c r="F2158" s="107"/>
      <c r="G2158" s="10"/>
      <c r="H2158" s="103"/>
      <c r="I2158" s="108">
        <f>Tableau3[[#This Row],[Stock final]]*Tableau3[[#This Row],[P.U.]]</f>
        <v>0</v>
      </c>
      <c r="J2158" s="184"/>
    </row>
    <row r="2159" spans="1:10" ht="19.350000000000001" customHeight="1">
      <c r="A2159" s="102"/>
      <c r="B2159" s="102"/>
      <c r="C2159" s="116"/>
      <c r="F2159" s="107"/>
      <c r="G2159" s="10"/>
      <c r="H2159" s="103"/>
      <c r="I2159" s="108">
        <f>Tableau3[[#This Row],[Stock final]]*Tableau3[[#This Row],[P.U.]]</f>
        <v>0</v>
      </c>
      <c r="J2159" s="184"/>
    </row>
    <row r="2160" spans="1:10" ht="19.350000000000001" customHeight="1">
      <c r="A2160" s="102"/>
      <c r="B2160" s="102"/>
      <c r="C2160" s="116"/>
      <c r="F2160" s="107"/>
      <c r="G2160" s="10"/>
      <c r="H2160" s="103"/>
      <c r="I2160" s="108">
        <f>Tableau3[[#This Row],[Stock final]]*Tableau3[[#This Row],[P.U.]]</f>
        <v>0</v>
      </c>
      <c r="J2160" s="184"/>
    </row>
    <row r="2161" spans="1:10" ht="19.350000000000001" customHeight="1">
      <c r="A2161" s="102"/>
      <c r="B2161" s="102"/>
      <c r="C2161" s="116"/>
      <c r="F2161" s="107"/>
      <c r="G2161" s="10"/>
      <c r="H2161" s="103"/>
      <c r="I2161" s="108">
        <f>Tableau3[[#This Row],[Stock final]]*Tableau3[[#This Row],[P.U.]]</f>
        <v>0</v>
      </c>
      <c r="J2161" s="184"/>
    </row>
    <row r="2162" spans="1:10" ht="19.350000000000001" customHeight="1">
      <c r="A2162" s="102"/>
      <c r="B2162" s="102"/>
      <c r="C2162" s="116"/>
      <c r="F2162" s="107"/>
      <c r="G2162" s="10"/>
      <c r="H2162" s="103"/>
      <c r="I2162" s="108">
        <f>Tableau3[[#This Row],[Stock final]]*Tableau3[[#This Row],[P.U.]]</f>
        <v>0</v>
      </c>
      <c r="J2162" s="184"/>
    </row>
    <row r="2163" spans="1:10" ht="19.350000000000001" customHeight="1">
      <c r="A2163" s="102"/>
      <c r="B2163" s="102"/>
      <c r="C2163" s="116"/>
      <c r="F2163" s="107"/>
      <c r="G2163" s="10"/>
      <c r="H2163" s="103"/>
      <c r="I2163" s="108">
        <f>Tableau3[[#This Row],[Stock final]]*Tableau3[[#This Row],[P.U.]]</f>
        <v>0</v>
      </c>
      <c r="J2163" s="184"/>
    </row>
    <row r="2164" spans="1:10" ht="19.350000000000001" customHeight="1">
      <c r="A2164" s="102"/>
      <c r="B2164" s="102"/>
      <c r="C2164" s="116"/>
      <c r="F2164" s="107"/>
      <c r="G2164" s="10"/>
      <c r="H2164" s="103"/>
      <c r="I2164" s="108">
        <f>Tableau3[[#This Row],[Stock final]]*Tableau3[[#This Row],[P.U.]]</f>
        <v>0</v>
      </c>
      <c r="J2164" s="184"/>
    </row>
    <row r="2165" spans="1:10" ht="19.350000000000001" customHeight="1">
      <c r="A2165" s="102"/>
      <c r="B2165" s="102"/>
      <c r="C2165" s="116"/>
      <c r="F2165" s="107"/>
      <c r="G2165" s="10"/>
      <c r="H2165" s="103"/>
      <c r="I2165" s="108">
        <f>Tableau3[[#This Row],[Stock final]]*Tableau3[[#This Row],[P.U.]]</f>
        <v>0</v>
      </c>
      <c r="J2165" s="184"/>
    </row>
    <row r="2166" spans="1:10" ht="19.350000000000001" customHeight="1">
      <c r="A2166" s="102"/>
      <c r="B2166" s="102"/>
      <c r="C2166" s="116"/>
      <c r="F2166" s="107"/>
      <c r="G2166" s="10"/>
      <c r="H2166" s="103"/>
      <c r="I2166" s="108">
        <f>Tableau3[[#This Row],[Stock final]]*Tableau3[[#This Row],[P.U.]]</f>
        <v>0</v>
      </c>
      <c r="J2166" s="184"/>
    </row>
    <row r="2167" spans="1:10" ht="19.350000000000001" customHeight="1">
      <c r="A2167" s="102"/>
      <c r="B2167" s="102"/>
      <c r="C2167" s="116"/>
      <c r="F2167" s="107"/>
      <c r="G2167" s="10"/>
      <c r="H2167" s="103"/>
      <c r="I2167" s="108">
        <f>Tableau3[[#This Row],[Stock final]]*Tableau3[[#This Row],[P.U.]]</f>
        <v>0</v>
      </c>
      <c r="J2167" s="184"/>
    </row>
    <row r="2168" spans="1:10" ht="19.350000000000001" customHeight="1">
      <c r="A2168" s="102"/>
      <c r="B2168" s="102"/>
      <c r="C2168" s="116"/>
      <c r="F2168" s="107"/>
      <c r="G2168" s="10"/>
      <c r="H2168" s="103"/>
      <c r="I2168" s="108">
        <f>Tableau3[[#This Row],[Stock final]]*Tableau3[[#This Row],[P.U.]]</f>
        <v>0</v>
      </c>
      <c r="J2168" s="184"/>
    </row>
    <row r="2169" spans="1:10" ht="19.350000000000001" customHeight="1">
      <c r="A2169" s="102"/>
      <c r="B2169" s="102"/>
      <c r="C2169" s="116"/>
      <c r="F2169" s="107"/>
      <c r="G2169" s="10"/>
      <c r="H2169" s="103"/>
      <c r="I2169" s="108">
        <f>Tableau3[[#This Row],[Stock final]]*Tableau3[[#This Row],[P.U.]]</f>
        <v>0</v>
      </c>
      <c r="J2169" s="184"/>
    </row>
    <row r="2170" spans="1:10" ht="19.350000000000001" customHeight="1">
      <c r="A2170" s="102"/>
      <c r="B2170" s="102"/>
      <c r="C2170" s="116"/>
      <c r="F2170" s="107"/>
      <c r="G2170" s="10"/>
      <c r="H2170" s="103"/>
      <c r="I2170" s="108">
        <f>Tableau3[[#This Row],[Stock final]]*Tableau3[[#This Row],[P.U.]]</f>
        <v>0</v>
      </c>
      <c r="J2170" s="184"/>
    </row>
    <row r="2171" spans="1:10" ht="19.350000000000001" customHeight="1">
      <c r="A2171" s="102"/>
      <c r="B2171" s="102"/>
      <c r="C2171" s="116"/>
      <c r="F2171" s="107"/>
      <c r="G2171" s="10"/>
      <c r="H2171" s="103"/>
      <c r="I2171" s="108">
        <f>Tableau3[[#This Row],[Stock final]]*Tableau3[[#This Row],[P.U.]]</f>
        <v>0</v>
      </c>
      <c r="J2171" s="184"/>
    </row>
    <row r="2172" spans="1:10" ht="19.350000000000001" customHeight="1">
      <c r="A2172" s="102"/>
      <c r="B2172" s="102"/>
      <c r="C2172" s="116"/>
      <c r="F2172" s="107"/>
      <c r="G2172" s="10"/>
      <c r="H2172" s="103"/>
      <c r="I2172" s="108">
        <f>Tableau3[[#This Row],[Stock final]]*Tableau3[[#This Row],[P.U.]]</f>
        <v>0</v>
      </c>
      <c r="J2172" s="184"/>
    </row>
    <row r="2173" spans="1:10" ht="19.350000000000001" customHeight="1">
      <c r="A2173" s="102"/>
      <c r="B2173" s="102"/>
      <c r="C2173" s="116"/>
      <c r="F2173" s="107"/>
      <c r="G2173" s="10"/>
      <c r="H2173" s="103"/>
      <c r="I2173" s="108">
        <f>Tableau3[[#This Row],[Stock final]]*Tableau3[[#This Row],[P.U.]]</f>
        <v>0</v>
      </c>
      <c r="J2173" s="184"/>
    </row>
    <row r="2174" spans="1:10" ht="19.350000000000001" customHeight="1">
      <c r="A2174" s="102"/>
      <c r="B2174" s="102"/>
      <c r="C2174" s="116"/>
      <c r="F2174" s="107"/>
      <c r="G2174" s="10"/>
      <c r="H2174" s="103"/>
      <c r="I2174" s="108">
        <f>Tableau3[[#This Row],[Stock final]]*Tableau3[[#This Row],[P.U.]]</f>
        <v>0</v>
      </c>
      <c r="J2174" s="184"/>
    </row>
    <row r="2175" spans="1:10" ht="19.350000000000001" customHeight="1">
      <c r="A2175" s="102"/>
      <c r="B2175" s="102"/>
      <c r="C2175" s="116"/>
      <c r="F2175" s="107"/>
      <c r="G2175" s="10"/>
      <c r="H2175" s="103"/>
      <c r="I2175" s="108">
        <f>Tableau3[[#This Row],[Stock final]]*Tableau3[[#This Row],[P.U.]]</f>
        <v>0</v>
      </c>
      <c r="J2175" s="184"/>
    </row>
    <row r="2176" spans="1:10" ht="19.350000000000001" customHeight="1">
      <c r="A2176" s="102"/>
      <c r="B2176" s="102"/>
      <c r="C2176" s="116"/>
      <c r="F2176" s="107"/>
      <c r="G2176" s="10"/>
      <c r="H2176" s="103"/>
      <c r="I2176" s="108">
        <f>Tableau3[[#This Row],[Stock final]]*Tableau3[[#This Row],[P.U.]]</f>
        <v>0</v>
      </c>
      <c r="J2176" s="184"/>
    </row>
    <row r="2177" spans="1:10" ht="19.350000000000001" customHeight="1">
      <c r="A2177" s="102"/>
      <c r="B2177" s="102"/>
      <c r="C2177" s="116"/>
      <c r="F2177" s="107"/>
      <c r="G2177" s="10"/>
      <c r="H2177" s="103"/>
      <c r="I2177" s="108">
        <f>Tableau3[[#This Row],[Stock final]]*Tableau3[[#This Row],[P.U.]]</f>
        <v>0</v>
      </c>
      <c r="J2177" s="184"/>
    </row>
    <row r="2178" spans="1:10" ht="19.350000000000001" customHeight="1">
      <c r="A2178" s="102"/>
      <c r="B2178" s="102"/>
      <c r="C2178" s="116"/>
      <c r="F2178" s="107"/>
      <c r="G2178" s="10"/>
      <c r="H2178" s="103"/>
      <c r="I2178" s="108">
        <f>Tableau3[[#This Row],[Stock final]]*Tableau3[[#This Row],[P.U.]]</f>
        <v>0</v>
      </c>
      <c r="J2178" s="184"/>
    </row>
    <row r="2179" spans="1:10" ht="19.350000000000001" customHeight="1">
      <c r="A2179" s="102"/>
      <c r="B2179" s="102"/>
      <c r="C2179" s="116"/>
      <c r="F2179" s="107"/>
      <c r="G2179" s="10"/>
      <c r="H2179" s="103"/>
      <c r="I2179" s="108">
        <f>Tableau3[[#This Row],[Stock final]]*Tableau3[[#This Row],[P.U.]]</f>
        <v>0</v>
      </c>
      <c r="J2179" s="184"/>
    </row>
    <row r="2180" spans="1:10" ht="19.350000000000001" customHeight="1">
      <c r="A2180" s="102"/>
      <c r="B2180" s="102"/>
      <c r="C2180" s="116"/>
      <c r="F2180" s="107"/>
      <c r="G2180" s="10"/>
      <c r="H2180" s="103"/>
      <c r="I2180" s="108">
        <f>Tableau3[[#This Row],[Stock final]]*Tableau3[[#This Row],[P.U.]]</f>
        <v>0</v>
      </c>
      <c r="J2180" s="184"/>
    </row>
    <row r="2181" spans="1:10" ht="19.350000000000001" customHeight="1">
      <c r="A2181" s="102"/>
      <c r="B2181" s="102"/>
      <c r="C2181" s="116"/>
      <c r="F2181" s="107"/>
      <c r="G2181" s="10"/>
      <c r="H2181" s="103"/>
      <c r="I2181" s="108">
        <f>Tableau3[[#This Row],[Stock final]]*Tableau3[[#This Row],[P.U.]]</f>
        <v>0</v>
      </c>
      <c r="J2181" s="184"/>
    </row>
    <row r="2182" spans="1:10" ht="19.350000000000001" customHeight="1">
      <c r="A2182" s="102"/>
      <c r="B2182" s="102"/>
      <c r="C2182" s="116"/>
      <c r="F2182" s="107"/>
      <c r="G2182" s="10"/>
      <c r="H2182" s="103"/>
      <c r="I2182" s="108">
        <f>Tableau3[[#This Row],[Stock final]]*Tableau3[[#This Row],[P.U.]]</f>
        <v>0</v>
      </c>
      <c r="J2182" s="184"/>
    </row>
    <row r="2183" spans="1:10" ht="19.350000000000001" customHeight="1">
      <c r="A2183" s="102"/>
      <c r="B2183" s="102"/>
      <c r="C2183" s="116"/>
      <c r="F2183" s="107"/>
      <c r="G2183" s="10"/>
      <c r="H2183" s="103"/>
      <c r="I2183" s="108">
        <f>Tableau3[[#This Row],[Stock final]]*Tableau3[[#This Row],[P.U.]]</f>
        <v>0</v>
      </c>
      <c r="J2183" s="184"/>
    </row>
    <row r="2184" spans="1:10" ht="19.350000000000001" customHeight="1">
      <c r="A2184" s="102"/>
      <c r="B2184" s="102"/>
      <c r="C2184" s="116"/>
      <c r="F2184" s="107"/>
      <c r="G2184" s="10"/>
      <c r="H2184" s="103"/>
      <c r="I2184" s="108">
        <f>Tableau3[[#This Row],[Stock final]]*Tableau3[[#This Row],[P.U.]]</f>
        <v>0</v>
      </c>
      <c r="J2184" s="184"/>
    </row>
    <row r="2185" spans="1:10" ht="19.350000000000001" customHeight="1">
      <c r="A2185" s="102"/>
      <c r="B2185" s="102"/>
      <c r="C2185" s="116"/>
      <c r="F2185" s="107"/>
      <c r="G2185" s="10"/>
      <c r="H2185" s="103"/>
      <c r="I2185" s="108">
        <f>Tableau3[[#This Row],[Stock final]]*Tableau3[[#This Row],[P.U.]]</f>
        <v>0</v>
      </c>
      <c r="J2185" s="184"/>
    </row>
    <row r="2186" spans="1:10" ht="19.350000000000001" customHeight="1">
      <c r="A2186" s="102"/>
      <c r="B2186" s="102"/>
      <c r="C2186" s="116"/>
      <c r="F2186" s="107"/>
      <c r="G2186" s="10"/>
      <c r="H2186" s="103"/>
      <c r="I2186" s="108">
        <f>Tableau3[[#This Row],[Stock final]]*Tableau3[[#This Row],[P.U.]]</f>
        <v>0</v>
      </c>
      <c r="J2186" s="184"/>
    </row>
    <row r="2187" spans="1:10" ht="19.350000000000001" customHeight="1">
      <c r="A2187" s="102"/>
      <c r="B2187" s="102"/>
      <c r="C2187" s="116"/>
      <c r="F2187" s="107"/>
      <c r="G2187" s="10"/>
      <c r="H2187" s="103"/>
      <c r="I2187" s="108">
        <f>Tableau3[[#This Row],[Stock final]]*Tableau3[[#This Row],[P.U.]]</f>
        <v>0</v>
      </c>
      <c r="J2187" s="184"/>
    </row>
    <row r="2188" spans="1:10" ht="19.350000000000001" customHeight="1">
      <c r="A2188" s="102"/>
      <c r="B2188" s="102"/>
      <c r="C2188" s="116"/>
      <c r="F2188" s="107"/>
      <c r="G2188" s="10"/>
      <c r="H2188" s="103"/>
      <c r="I2188" s="108">
        <f>Tableau3[[#This Row],[Stock final]]*Tableau3[[#This Row],[P.U.]]</f>
        <v>0</v>
      </c>
      <c r="J2188" s="184"/>
    </row>
    <row r="2189" spans="1:10" ht="19.350000000000001" customHeight="1">
      <c r="A2189" s="102"/>
      <c r="B2189" s="102"/>
      <c r="C2189" s="116"/>
      <c r="F2189" s="107"/>
      <c r="G2189" s="10"/>
      <c r="H2189" s="103"/>
      <c r="I2189" s="108">
        <f>Tableau3[[#This Row],[Stock final]]*Tableau3[[#This Row],[P.U.]]</f>
        <v>0</v>
      </c>
      <c r="J2189" s="184"/>
    </row>
    <row r="2190" spans="1:10" ht="19.350000000000001" customHeight="1">
      <c r="A2190" s="102"/>
      <c r="B2190" s="102"/>
      <c r="C2190" s="116"/>
      <c r="F2190" s="107"/>
      <c r="G2190" s="10"/>
      <c r="H2190" s="103"/>
      <c r="I2190" s="108">
        <f>Tableau3[[#This Row],[Stock final]]*Tableau3[[#This Row],[P.U.]]</f>
        <v>0</v>
      </c>
      <c r="J2190" s="184"/>
    </row>
    <row r="2191" spans="1:10" ht="19.350000000000001" customHeight="1">
      <c r="A2191" s="102"/>
      <c r="B2191" s="102"/>
      <c r="C2191" s="116"/>
      <c r="F2191" s="107"/>
      <c r="G2191" s="10"/>
      <c r="H2191" s="103"/>
      <c r="I2191" s="108">
        <f>Tableau3[[#This Row],[Stock final]]*Tableau3[[#This Row],[P.U.]]</f>
        <v>0</v>
      </c>
      <c r="J2191" s="184"/>
    </row>
    <row r="2192" spans="1:10" ht="19.350000000000001" customHeight="1">
      <c r="A2192" s="102"/>
      <c r="B2192" s="102"/>
      <c r="C2192" s="116"/>
      <c r="F2192" s="107"/>
      <c r="G2192" s="10"/>
      <c r="H2192" s="103"/>
      <c r="I2192" s="108">
        <f>Tableau3[[#This Row],[Stock final]]*Tableau3[[#This Row],[P.U.]]</f>
        <v>0</v>
      </c>
      <c r="J2192" s="184"/>
    </row>
    <row r="2193" spans="1:10" ht="19.350000000000001" customHeight="1">
      <c r="A2193" s="102"/>
      <c r="B2193" s="102"/>
      <c r="C2193" s="116"/>
      <c r="F2193" s="107"/>
      <c r="G2193" s="10"/>
      <c r="H2193" s="103"/>
      <c r="I2193" s="108">
        <f>Tableau3[[#This Row],[Stock final]]*Tableau3[[#This Row],[P.U.]]</f>
        <v>0</v>
      </c>
      <c r="J2193" s="184"/>
    </row>
    <row r="2194" spans="1:10" ht="19.350000000000001" customHeight="1">
      <c r="A2194" s="102"/>
      <c r="B2194" s="102"/>
      <c r="C2194" s="116"/>
      <c r="F2194" s="107"/>
      <c r="G2194" s="10"/>
      <c r="H2194" s="103"/>
      <c r="I2194" s="108">
        <f>Tableau3[[#This Row],[Stock final]]*Tableau3[[#This Row],[P.U.]]</f>
        <v>0</v>
      </c>
      <c r="J2194" s="184"/>
    </row>
    <row r="2195" spans="1:10" ht="19.350000000000001" customHeight="1">
      <c r="A2195" s="102"/>
      <c r="B2195" s="102"/>
      <c r="C2195" s="116"/>
      <c r="F2195" s="107"/>
      <c r="G2195" s="10"/>
      <c r="H2195" s="103"/>
      <c r="I2195" s="108">
        <f>Tableau3[[#This Row],[Stock final]]*Tableau3[[#This Row],[P.U.]]</f>
        <v>0</v>
      </c>
      <c r="J2195" s="184"/>
    </row>
    <row r="2196" spans="1:10" ht="19.350000000000001" customHeight="1">
      <c r="A2196" s="102"/>
      <c r="B2196" s="102"/>
      <c r="C2196" s="116"/>
      <c r="F2196" s="107"/>
      <c r="G2196" s="10"/>
      <c r="H2196" s="103"/>
      <c r="I2196" s="108">
        <f>Tableau3[[#This Row],[Stock final]]*Tableau3[[#This Row],[P.U.]]</f>
        <v>0</v>
      </c>
      <c r="J2196" s="184"/>
    </row>
    <row r="2197" spans="1:10" ht="19.350000000000001" customHeight="1">
      <c r="A2197" s="102"/>
      <c r="B2197" s="102"/>
      <c r="C2197" s="116"/>
      <c r="F2197" s="107"/>
      <c r="G2197" s="10"/>
      <c r="H2197" s="103"/>
      <c r="I2197" s="108">
        <f>Tableau3[[#This Row],[Stock final]]*Tableau3[[#This Row],[P.U.]]</f>
        <v>0</v>
      </c>
      <c r="J2197" s="184"/>
    </row>
    <row r="2198" spans="1:10" ht="19.350000000000001" customHeight="1">
      <c r="A2198" s="102"/>
      <c r="B2198" s="102"/>
      <c r="C2198" s="116"/>
      <c r="F2198" s="107"/>
      <c r="G2198" s="10"/>
      <c r="H2198" s="103"/>
      <c r="I2198" s="108">
        <f>Tableau3[[#This Row],[Stock final]]*Tableau3[[#This Row],[P.U.]]</f>
        <v>0</v>
      </c>
      <c r="J2198" s="184"/>
    </row>
    <row r="2199" spans="1:10" ht="19.350000000000001" customHeight="1">
      <c r="A2199" s="102"/>
      <c r="B2199" s="102"/>
      <c r="C2199" s="116"/>
      <c r="F2199" s="107"/>
      <c r="G2199" s="10"/>
      <c r="H2199" s="103"/>
      <c r="I2199" s="108">
        <f>Tableau3[[#This Row],[Stock final]]*Tableau3[[#This Row],[P.U.]]</f>
        <v>0</v>
      </c>
      <c r="J2199" s="184"/>
    </row>
    <row r="2200" spans="1:10" ht="19.350000000000001" customHeight="1">
      <c r="A2200" s="102"/>
      <c r="B2200" s="102"/>
      <c r="C2200" s="116"/>
      <c r="F2200" s="107"/>
      <c r="G2200" s="10"/>
      <c r="H2200" s="103"/>
      <c r="I2200" s="108">
        <f>Tableau3[[#This Row],[Stock final]]*Tableau3[[#This Row],[P.U.]]</f>
        <v>0</v>
      </c>
      <c r="J2200" s="184"/>
    </row>
    <row r="2201" spans="1:10" ht="19.350000000000001" customHeight="1">
      <c r="A2201" s="102"/>
      <c r="B2201" s="102"/>
      <c r="C2201" s="116"/>
      <c r="F2201" s="107"/>
      <c r="G2201" s="10"/>
      <c r="H2201" s="103"/>
      <c r="I2201" s="108">
        <f>Tableau3[[#This Row],[Stock final]]*Tableau3[[#This Row],[P.U.]]</f>
        <v>0</v>
      </c>
      <c r="J2201" s="184"/>
    </row>
    <row r="2202" spans="1:10" ht="19.350000000000001" customHeight="1">
      <c r="A2202" s="102"/>
      <c r="B2202" s="102"/>
      <c r="C2202" s="116"/>
      <c r="F2202" s="107"/>
      <c r="G2202" s="10"/>
      <c r="H2202" s="103"/>
      <c r="I2202" s="108">
        <f>Tableau3[[#This Row],[Stock final]]*Tableau3[[#This Row],[P.U.]]</f>
        <v>0</v>
      </c>
      <c r="J2202" s="184"/>
    </row>
    <row r="2203" spans="1:10" ht="19.350000000000001" customHeight="1">
      <c r="A2203" s="102"/>
      <c r="B2203" s="102"/>
      <c r="C2203" s="116"/>
      <c r="F2203" s="107"/>
      <c r="G2203" s="10"/>
      <c r="H2203" s="103"/>
      <c r="I2203" s="108">
        <f>Tableau3[[#This Row],[Stock final]]*Tableau3[[#This Row],[P.U.]]</f>
        <v>0</v>
      </c>
      <c r="J2203" s="184"/>
    </row>
    <row r="2204" spans="1:10" ht="19.350000000000001" customHeight="1">
      <c r="A2204" s="102"/>
      <c r="B2204" s="102"/>
      <c r="C2204" s="116"/>
      <c r="F2204" s="107"/>
      <c r="G2204" s="10"/>
      <c r="H2204" s="103"/>
      <c r="I2204" s="108">
        <f>Tableau3[[#This Row],[Stock final]]*Tableau3[[#This Row],[P.U.]]</f>
        <v>0</v>
      </c>
      <c r="J2204" s="184"/>
    </row>
    <row r="2205" spans="1:10" ht="19.350000000000001" customHeight="1">
      <c r="A2205" s="102"/>
      <c r="B2205" s="102"/>
      <c r="C2205" s="116"/>
      <c r="F2205" s="107"/>
      <c r="G2205" s="10"/>
      <c r="H2205" s="103"/>
      <c r="I2205" s="108">
        <f>Tableau3[[#This Row],[Stock final]]*Tableau3[[#This Row],[P.U.]]</f>
        <v>0</v>
      </c>
      <c r="J2205" s="184"/>
    </row>
    <row r="2206" spans="1:10" ht="19.350000000000001" customHeight="1">
      <c r="A2206" s="102"/>
      <c r="B2206" s="102"/>
      <c r="C2206" s="116"/>
      <c r="F2206" s="107"/>
      <c r="G2206" s="10"/>
      <c r="H2206" s="103"/>
      <c r="I2206" s="108">
        <f>Tableau3[[#This Row],[Stock final]]*Tableau3[[#This Row],[P.U.]]</f>
        <v>0</v>
      </c>
      <c r="J2206" s="184"/>
    </row>
    <row r="2207" spans="1:10" ht="19.350000000000001" customHeight="1">
      <c r="A2207" s="102"/>
      <c r="B2207" s="102"/>
      <c r="C2207" s="116"/>
      <c r="F2207" s="107"/>
      <c r="G2207" s="10"/>
      <c r="H2207" s="103"/>
      <c r="I2207" s="108">
        <f>Tableau3[[#This Row],[Stock final]]*Tableau3[[#This Row],[P.U.]]</f>
        <v>0</v>
      </c>
      <c r="J2207" s="184"/>
    </row>
    <row r="2208" spans="1:10" ht="19.350000000000001" customHeight="1">
      <c r="A2208" s="102"/>
      <c r="B2208" s="102"/>
      <c r="C2208" s="116"/>
      <c r="F2208" s="107"/>
      <c r="G2208" s="10"/>
      <c r="H2208" s="103"/>
      <c r="I2208" s="108">
        <f>Tableau3[[#This Row],[Stock final]]*Tableau3[[#This Row],[P.U.]]</f>
        <v>0</v>
      </c>
      <c r="J2208" s="184"/>
    </row>
    <row r="2209" spans="1:10" ht="19.350000000000001" customHeight="1">
      <c r="A2209" s="102"/>
      <c r="B2209" s="102"/>
      <c r="C2209" s="116"/>
      <c r="F2209" s="107"/>
      <c r="G2209" s="10"/>
      <c r="H2209" s="103"/>
      <c r="I2209" s="108">
        <f>Tableau3[[#This Row],[Stock final]]*Tableau3[[#This Row],[P.U.]]</f>
        <v>0</v>
      </c>
      <c r="J2209" s="184"/>
    </row>
    <row r="2210" spans="1:10" ht="19.350000000000001" customHeight="1">
      <c r="A2210" s="102"/>
      <c r="B2210" s="102"/>
      <c r="C2210" s="116"/>
      <c r="F2210" s="107"/>
      <c r="G2210" s="10"/>
      <c r="H2210" s="103"/>
      <c r="I2210" s="108">
        <f>Tableau3[[#This Row],[Stock final]]*Tableau3[[#This Row],[P.U.]]</f>
        <v>0</v>
      </c>
      <c r="J2210" s="184"/>
    </row>
    <row r="2211" spans="1:10" ht="19.350000000000001" customHeight="1">
      <c r="A2211" s="102"/>
      <c r="B2211" s="102"/>
      <c r="C2211" s="116"/>
      <c r="F2211" s="107"/>
      <c r="G2211" s="10"/>
      <c r="H2211" s="103"/>
      <c r="I2211" s="108">
        <f>Tableau3[[#This Row],[Stock final]]*Tableau3[[#This Row],[P.U.]]</f>
        <v>0</v>
      </c>
      <c r="J2211" s="184"/>
    </row>
    <row r="2212" spans="1:10" ht="19.350000000000001" customHeight="1">
      <c r="A2212" s="102"/>
      <c r="B2212" s="102"/>
      <c r="C2212" s="116"/>
      <c r="F2212" s="107"/>
      <c r="G2212" s="10"/>
      <c r="H2212" s="103"/>
      <c r="I2212" s="108">
        <f>Tableau3[[#This Row],[Stock final]]*Tableau3[[#This Row],[P.U.]]</f>
        <v>0</v>
      </c>
      <c r="J2212" s="184"/>
    </row>
    <row r="2213" spans="1:10" ht="19.350000000000001" customHeight="1">
      <c r="A2213" s="102"/>
      <c r="B2213" s="102"/>
      <c r="C2213" s="116"/>
      <c r="F2213" s="107"/>
      <c r="G2213" s="10"/>
      <c r="H2213" s="103"/>
      <c r="I2213" s="108">
        <f>Tableau3[[#This Row],[Stock final]]*Tableau3[[#This Row],[P.U.]]</f>
        <v>0</v>
      </c>
      <c r="J2213" s="184"/>
    </row>
    <row r="2214" spans="1:10" ht="19.350000000000001" customHeight="1">
      <c r="A2214" s="102"/>
      <c r="B2214" s="102"/>
      <c r="C2214" s="116"/>
      <c r="F2214" s="107"/>
      <c r="G2214" s="10"/>
      <c r="H2214" s="103"/>
      <c r="I2214" s="108">
        <f>Tableau3[[#This Row],[Stock final]]*Tableau3[[#This Row],[P.U.]]</f>
        <v>0</v>
      </c>
      <c r="J2214" s="184"/>
    </row>
    <row r="2215" spans="1:10" ht="19.350000000000001" customHeight="1">
      <c r="A2215" s="102"/>
      <c r="B2215" s="102"/>
      <c r="C2215" s="116"/>
      <c r="F2215" s="107"/>
      <c r="G2215" s="10"/>
      <c r="H2215" s="103"/>
      <c r="I2215" s="108">
        <f>Tableau3[[#This Row],[Stock final]]*Tableau3[[#This Row],[P.U.]]</f>
        <v>0</v>
      </c>
      <c r="J2215" s="184"/>
    </row>
    <row r="2216" spans="1:10" ht="19.350000000000001" customHeight="1">
      <c r="A2216" s="102"/>
      <c r="B2216" s="102"/>
      <c r="C2216" s="116"/>
      <c r="F2216" s="107"/>
      <c r="G2216" s="10"/>
      <c r="H2216" s="103"/>
      <c r="I2216" s="108">
        <f>Tableau3[[#This Row],[Stock final]]*Tableau3[[#This Row],[P.U.]]</f>
        <v>0</v>
      </c>
      <c r="J2216" s="184"/>
    </row>
    <row r="2217" spans="1:10" ht="19.350000000000001" customHeight="1">
      <c r="A2217" s="102"/>
      <c r="B2217" s="102"/>
      <c r="C2217" s="116"/>
      <c r="F2217" s="107"/>
      <c r="G2217" s="10"/>
      <c r="H2217" s="103"/>
      <c r="I2217" s="108">
        <f>Tableau3[[#This Row],[Stock final]]*Tableau3[[#This Row],[P.U.]]</f>
        <v>0</v>
      </c>
      <c r="J2217" s="184"/>
    </row>
    <row r="2218" spans="1:10" ht="19.350000000000001" customHeight="1">
      <c r="A2218" s="102"/>
      <c r="B2218" s="105" t="s">
        <v>1120</v>
      </c>
      <c r="C2218" s="118"/>
      <c r="D2218" s="114" t="s">
        <v>1121</v>
      </c>
      <c r="E2218" s="113" t="s">
        <v>1122</v>
      </c>
      <c r="F2218" s="107"/>
      <c r="G2218" s="10"/>
      <c r="H2218" s="103">
        <v>20.8</v>
      </c>
      <c r="I2218" s="108">
        <f>Tableau3[[#This Row],[Stock final]]*Tableau3[[#This Row],[P.U.]]</f>
        <v>0</v>
      </c>
      <c r="J2218" s="184"/>
    </row>
    <row r="2219" spans="1:10" ht="19.350000000000001" customHeight="1">
      <c r="A2219" s="102"/>
      <c r="B2219" s="102" t="s">
        <v>1120</v>
      </c>
      <c r="C2219" s="118"/>
      <c r="D2219" s="114" t="s">
        <v>1123</v>
      </c>
      <c r="E2219" s="113" t="s">
        <v>1122</v>
      </c>
      <c r="F2219" s="107"/>
      <c r="G2219" s="10"/>
      <c r="H2219" s="103">
        <v>18.78</v>
      </c>
      <c r="I2219" s="108">
        <f>Tableau3[[#This Row],[Stock final]]*Tableau3[[#This Row],[P.U.]]</f>
        <v>0</v>
      </c>
      <c r="J2219" s="184"/>
    </row>
    <row r="2220" spans="1:10" ht="19.350000000000001" customHeight="1">
      <c r="A2220" s="102"/>
      <c r="B2220" s="102" t="s">
        <v>1120</v>
      </c>
      <c r="C2220" s="118"/>
      <c r="D2220" s="114" t="s">
        <v>1145</v>
      </c>
      <c r="E2220" s="113" t="s">
        <v>1122</v>
      </c>
      <c r="F2220" s="107"/>
      <c r="G2220" s="10">
        <v>1</v>
      </c>
      <c r="H2220" s="103">
        <v>13.75</v>
      </c>
      <c r="I2220" s="108">
        <f>Tableau3[[#This Row],[Stock final]]*Tableau3[[#This Row],[P.U.]]</f>
        <v>13.75</v>
      </c>
      <c r="J2220" s="184"/>
    </row>
    <row r="2221" spans="1:10" ht="19.350000000000001" customHeight="1">
      <c r="A2221" s="102"/>
      <c r="B2221" s="102" t="s">
        <v>1120</v>
      </c>
      <c r="C2221" s="118"/>
      <c r="D2221" s="114" t="s">
        <v>1129</v>
      </c>
      <c r="E2221" s="113" t="s">
        <v>126</v>
      </c>
      <c r="F2221" s="107"/>
      <c r="G2221" s="10">
        <v>7</v>
      </c>
      <c r="H2221" s="103">
        <v>26.75</v>
      </c>
      <c r="I2221" s="108">
        <f>Tableau3[[#This Row],[Stock final]]*Tableau3[[#This Row],[P.U.]]</f>
        <v>187.25</v>
      </c>
      <c r="J2221" s="184"/>
    </row>
    <row r="2222" spans="1:10" ht="19.350000000000001" customHeight="1">
      <c r="A2222" s="102"/>
      <c r="B2222" s="102" t="s">
        <v>1120</v>
      </c>
      <c r="C2222" s="118"/>
      <c r="D2222" s="114" t="s">
        <v>1146</v>
      </c>
      <c r="E2222" s="113" t="s">
        <v>1124</v>
      </c>
      <c r="F2222" s="107"/>
      <c r="G2222" s="10"/>
      <c r="H2222" s="103">
        <v>13.75</v>
      </c>
      <c r="I2222" s="108">
        <f>Tableau3[[#This Row],[Stock final]]*Tableau3[[#This Row],[P.U.]]</f>
        <v>0</v>
      </c>
      <c r="J2222" s="184"/>
    </row>
    <row r="2223" spans="1:10" ht="19.350000000000001" customHeight="1">
      <c r="A2223" s="102"/>
      <c r="B2223" s="102" t="s">
        <v>1120</v>
      </c>
      <c r="C2223" s="119" t="s">
        <v>1125</v>
      </c>
      <c r="D2223" s="114" t="s">
        <v>1126</v>
      </c>
      <c r="E2223" s="113" t="s">
        <v>1127</v>
      </c>
      <c r="F2223" s="107"/>
      <c r="G2223" s="10"/>
      <c r="H2223" s="103">
        <v>75</v>
      </c>
      <c r="I2223" s="108">
        <f>Tableau3[[#This Row],[Stock final]]*Tableau3[[#This Row],[P.U.]]</f>
        <v>0</v>
      </c>
      <c r="J2223" s="184"/>
    </row>
    <row r="2224" spans="1:10" ht="19.350000000000001" customHeight="1">
      <c r="A2224" s="102"/>
      <c r="B2224" s="102" t="s">
        <v>1120</v>
      </c>
      <c r="C2224" s="119" t="s">
        <v>1128</v>
      </c>
      <c r="D2224" s="114" t="s">
        <v>1129</v>
      </c>
      <c r="E2224" s="113" t="s">
        <v>1127</v>
      </c>
      <c r="F2224" s="107"/>
      <c r="G2224" s="10"/>
      <c r="H2224" s="103">
        <v>57</v>
      </c>
      <c r="I2224" s="108">
        <f>Tableau3[[#This Row],[Stock final]]*Tableau3[[#This Row],[P.U.]]</f>
        <v>0</v>
      </c>
      <c r="J2224" s="184"/>
    </row>
    <row r="2225" spans="1:10" ht="19.350000000000001" customHeight="1">
      <c r="A2225" s="102"/>
      <c r="B2225" s="102" t="s">
        <v>1120</v>
      </c>
      <c r="C2225" s="119" t="s">
        <v>1130</v>
      </c>
      <c r="D2225" s="114" t="s">
        <v>1131</v>
      </c>
      <c r="E2225" s="113" t="s">
        <v>1127</v>
      </c>
      <c r="F2225" s="107"/>
      <c r="G2225" s="10">
        <v>8</v>
      </c>
      <c r="H2225" s="103">
        <v>31.36</v>
      </c>
      <c r="I2225" s="108">
        <f>Tableau3[[#This Row],[Stock final]]*Tableau3[[#This Row],[P.U.]]</f>
        <v>250.88</v>
      </c>
      <c r="J2225" s="184"/>
    </row>
    <row r="2226" spans="1:10" ht="19.350000000000001" customHeight="1">
      <c r="A2226" s="102"/>
      <c r="B2226" s="102" t="s">
        <v>1120</v>
      </c>
      <c r="C2226" s="119" t="s">
        <v>1132</v>
      </c>
      <c r="D2226" s="114" t="s">
        <v>1133</v>
      </c>
      <c r="E2226" s="113" t="s">
        <v>1127</v>
      </c>
      <c r="F2226" s="107"/>
      <c r="G2226" s="10">
        <v>11</v>
      </c>
      <c r="H2226" s="103">
        <v>34</v>
      </c>
      <c r="I2226" s="108">
        <f>Tableau3[[#This Row],[Stock final]]*Tableau3[[#This Row],[P.U.]]</f>
        <v>374</v>
      </c>
      <c r="J2226" s="184"/>
    </row>
    <row r="2227" spans="1:10" ht="19.350000000000001" customHeight="1">
      <c r="A2227" s="102"/>
      <c r="B2227" s="102" t="s">
        <v>1120</v>
      </c>
      <c r="C2227" s="119" t="s">
        <v>1134</v>
      </c>
      <c r="D2227" s="114" t="s">
        <v>1135</v>
      </c>
      <c r="E2227" s="113" t="s">
        <v>1127</v>
      </c>
      <c r="F2227" s="107"/>
      <c r="G2227" s="10">
        <v>14</v>
      </c>
      <c r="H2227" s="103">
        <v>23</v>
      </c>
      <c r="I2227" s="108">
        <f>Tableau3[[#This Row],[Stock final]]*Tableau3[[#This Row],[P.U.]]</f>
        <v>322</v>
      </c>
      <c r="J2227" s="184"/>
    </row>
    <row r="2228" spans="1:10" ht="19.350000000000001" customHeight="1">
      <c r="A2228" s="102"/>
      <c r="B2228" s="102" t="s">
        <v>1120</v>
      </c>
      <c r="C2228" s="118"/>
      <c r="D2228" s="114" t="s">
        <v>1136</v>
      </c>
      <c r="F2228" s="107"/>
      <c r="G2228" s="10"/>
      <c r="H2228" s="103">
        <v>143</v>
      </c>
      <c r="I2228" s="108">
        <f>Tableau3[[#This Row],[Stock final]]*Tableau3[[#This Row],[P.U.]]</f>
        <v>0</v>
      </c>
      <c r="J2228" s="184"/>
    </row>
    <row r="2229" spans="1:10" ht="19.350000000000001" customHeight="1">
      <c r="A2229" s="102"/>
      <c r="B2229" s="102" t="s">
        <v>1120</v>
      </c>
      <c r="C2229" s="119">
        <v>11002</v>
      </c>
      <c r="D2229" s="114" t="s">
        <v>1137</v>
      </c>
      <c r="F2229" s="107"/>
      <c r="G2229" s="10">
        <v>12</v>
      </c>
      <c r="H2229" s="103">
        <v>117</v>
      </c>
      <c r="I2229" s="108">
        <f>Tableau3[[#This Row],[Stock final]]*Tableau3[[#This Row],[P.U.]]</f>
        <v>1404</v>
      </c>
      <c r="J2229" s="184"/>
    </row>
    <row r="2230" spans="1:10" ht="19.350000000000001" customHeight="1">
      <c r="A2230" s="102"/>
      <c r="B2230" s="102" t="s">
        <v>1120</v>
      </c>
      <c r="C2230" s="119">
        <v>11036</v>
      </c>
      <c r="D2230" s="114" t="s">
        <v>1138</v>
      </c>
      <c r="F2230" s="107"/>
      <c r="G2230" s="10">
        <v>4</v>
      </c>
      <c r="H2230" s="103">
        <v>180</v>
      </c>
      <c r="I2230" s="108">
        <f>Tableau3[[#This Row],[Stock final]]*Tableau3[[#This Row],[P.U.]]</f>
        <v>720</v>
      </c>
      <c r="J2230" s="184"/>
    </row>
    <row r="2231" spans="1:10" ht="19.350000000000001" customHeight="1">
      <c r="A2231" s="102"/>
      <c r="B2231" s="102" t="s">
        <v>1120</v>
      </c>
      <c r="C2231" s="118"/>
      <c r="D2231" s="114" t="s">
        <v>1139</v>
      </c>
      <c r="F2231" s="107"/>
      <c r="G2231" s="10">
        <v>7</v>
      </c>
      <c r="H2231" s="103">
        <v>172</v>
      </c>
      <c r="I2231" s="108">
        <f>Tableau3[[#This Row],[Stock final]]*Tableau3[[#This Row],[P.U.]]</f>
        <v>1204</v>
      </c>
      <c r="J2231" s="184"/>
    </row>
    <row r="2232" spans="1:10" ht="19.350000000000001" customHeight="1">
      <c r="A2232" s="102"/>
      <c r="B2232" s="102" t="s">
        <v>1120</v>
      </c>
      <c r="C2232" s="118"/>
      <c r="D2232" s="114" t="s">
        <v>1140</v>
      </c>
      <c r="F2232" s="107"/>
      <c r="G2232" s="10"/>
      <c r="H2232" s="103">
        <v>119</v>
      </c>
      <c r="I2232" s="108">
        <f>Tableau3[[#This Row],[Stock final]]*Tableau3[[#This Row],[P.U.]]</f>
        <v>0</v>
      </c>
      <c r="J2232" s="184"/>
    </row>
    <row r="2233" spans="1:10" ht="19.350000000000001" customHeight="1">
      <c r="A2233" s="102"/>
      <c r="B2233" s="102" t="s">
        <v>1120</v>
      </c>
      <c r="C2233" s="118"/>
      <c r="D2233" s="114" t="s">
        <v>1141</v>
      </c>
      <c r="F2233" s="107"/>
      <c r="G2233" s="10"/>
      <c r="H2233" s="103">
        <v>70</v>
      </c>
      <c r="I2233" s="108">
        <f>Tableau3[[#This Row],[Stock final]]*Tableau3[[#This Row],[P.U.]]</f>
        <v>0</v>
      </c>
      <c r="J2233" s="184"/>
    </row>
    <row r="2234" spans="1:10" ht="19.350000000000001" customHeight="1">
      <c r="A2234" s="102"/>
      <c r="B2234" s="102" t="s">
        <v>1120</v>
      </c>
      <c r="C2234" s="118"/>
      <c r="D2234" s="114" t="s">
        <v>1142</v>
      </c>
      <c r="F2234" s="107"/>
      <c r="G2234" s="10">
        <v>2</v>
      </c>
      <c r="H2234" s="103">
        <v>149</v>
      </c>
      <c r="I2234" s="108">
        <f>Tableau3[[#This Row],[Stock final]]*Tableau3[[#This Row],[P.U.]]</f>
        <v>298</v>
      </c>
      <c r="J2234" s="184"/>
    </row>
    <row r="2235" spans="1:10" ht="19.350000000000001" customHeight="1">
      <c r="A2235" s="102"/>
      <c r="B2235" s="102" t="s">
        <v>1120</v>
      </c>
      <c r="C2235" s="118"/>
      <c r="D2235" s="114" t="s">
        <v>1143</v>
      </c>
      <c r="F2235" s="107"/>
      <c r="G2235" s="10"/>
      <c r="H2235" s="103">
        <v>209</v>
      </c>
      <c r="I2235" s="108">
        <f>Tableau3[[#This Row],[Stock final]]*Tableau3[[#This Row],[P.U.]]</f>
        <v>0</v>
      </c>
      <c r="J2235" s="184"/>
    </row>
    <row r="2236" spans="1:10" ht="19.350000000000001" customHeight="1">
      <c r="A2236" s="102"/>
      <c r="B2236" s="102" t="s">
        <v>1144</v>
      </c>
      <c r="C2236" s="118"/>
      <c r="D2236" s="114" t="s">
        <v>1147</v>
      </c>
      <c r="F2236" s="107"/>
      <c r="G2236" s="10">
        <v>6</v>
      </c>
      <c r="H2236" s="103">
        <v>115</v>
      </c>
      <c r="I2236" s="108">
        <f>Tableau3[[#This Row],[Stock final]]*Tableau3[[#This Row],[P.U.]]</f>
        <v>690</v>
      </c>
      <c r="J2236" s="184"/>
    </row>
    <row r="2237" spans="1:10" ht="19.350000000000001" customHeight="1">
      <c r="A2237" s="102"/>
      <c r="B2237" s="102"/>
      <c r="C2237" s="116"/>
      <c r="F2237" s="107"/>
      <c r="G2237" s="10"/>
      <c r="H2237" s="103"/>
      <c r="I2237" s="108">
        <f>Tableau3[[#This Row],[Stock final]]*Tableau3[[#This Row],[P.U.]]</f>
        <v>0</v>
      </c>
      <c r="J2237" s="184"/>
    </row>
    <row r="2238" spans="1:10" ht="19.350000000000001" customHeight="1">
      <c r="A2238" s="102"/>
      <c r="B2238" s="102"/>
      <c r="C2238" s="116"/>
      <c r="F2238" s="107"/>
      <c r="G2238" s="10"/>
      <c r="H2238" s="103"/>
      <c r="I2238" s="108">
        <f>Tableau3[[#This Row],[Stock final]]*Tableau3[[#This Row],[P.U.]]</f>
        <v>0</v>
      </c>
      <c r="J2238" s="184"/>
    </row>
    <row r="2239" spans="1:10" ht="19.350000000000001" customHeight="1">
      <c r="A2239" s="102"/>
      <c r="B2239" s="102"/>
      <c r="C2239" s="116"/>
      <c r="F2239" s="107"/>
      <c r="G2239" s="10"/>
      <c r="H2239" s="103"/>
      <c r="I2239" s="108">
        <f>Tableau3[[#This Row],[Stock final]]*Tableau3[[#This Row],[P.U.]]</f>
        <v>0</v>
      </c>
      <c r="J2239" s="184"/>
    </row>
    <row r="2240" spans="1:10" ht="19.350000000000001" customHeight="1">
      <c r="A2240" s="102"/>
      <c r="B2240" s="102"/>
      <c r="C2240" s="116"/>
      <c r="F2240" s="107"/>
      <c r="G2240" s="10"/>
      <c r="H2240" s="103"/>
      <c r="I2240" s="108">
        <f>Tableau3[[#This Row],[Stock final]]*Tableau3[[#This Row],[P.U.]]</f>
        <v>0</v>
      </c>
      <c r="J2240" s="184"/>
    </row>
    <row r="2241" spans="1:10" ht="19.350000000000001" customHeight="1">
      <c r="A2241" s="102"/>
      <c r="B2241" s="102"/>
      <c r="C2241" s="116"/>
      <c r="F2241" s="107"/>
      <c r="G2241" s="10"/>
      <c r="H2241" s="103"/>
      <c r="I2241" s="108">
        <f>Tableau3[[#This Row],[Stock final]]*Tableau3[[#This Row],[P.U.]]</f>
        <v>0</v>
      </c>
      <c r="J2241" s="184"/>
    </row>
    <row r="2242" spans="1:10" ht="19.350000000000001" customHeight="1">
      <c r="A2242" s="102"/>
      <c r="B2242" s="102"/>
      <c r="C2242" s="116"/>
      <c r="F2242" s="107"/>
      <c r="G2242" s="10"/>
      <c r="H2242" s="103"/>
      <c r="I2242" s="108">
        <f>Tableau3[[#This Row],[Stock final]]*Tableau3[[#This Row],[P.U.]]</f>
        <v>0</v>
      </c>
      <c r="J2242" s="184"/>
    </row>
    <row r="2243" spans="1:10" ht="19.350000000000001" customHeight="1">
      <c r="A2243" s="102"/>
      <c r="B2243" s="102"/>
      <c r="C2243" s="116"/>
      <c r="F2243" s="107"/>
      <c r="G2243" s="10"/>
      <c r="H2243" s="103"/>
      <c r="I2243" s="108">
        <f>Tableau3[[#This Row],[Stock final]]*Tableau3[[#This Row],[P.U.]]</f>
        <v>0</v>
      </c>
      <c r="J2243" s="184"/>
    </row>
    <row r="2244" spans="1:10" ht="19.350000000000001" customHeight="1">
      <c r="A2244" s="102"/>
      <c r="B2244" s="102"/>
      <c r="C2244" s="116"/>
      <c r="F2244" s="107"/>
      <c r="G2244" s="10"/>
      <c r="H2244" s="103"/>
      <c r="I2244" s="108">
        <f>Tableau3[[#This Row],[Stock final]]*Tableau3[[#This Row],[P.U.]]</f>
        <v>0</v>
      </c>
      <c r="J2244" s="184"/>
    </row>
    <row r="2245" spans="1:10" ht="19.350000000000001" customHeight="1">
      <c r="A2245" s="102"/>
      <c r="B2245" s="102"/>
      <c r="C2245" s="116"/>
      <c r="F2245" s="107"/>
      <c r="G2245" s="10"/>
      <c r="H2245" s="103"/>
      <c r="I2245" s="108">
        <f>Tableau3[[#This Row],[Stock final]]*Tableau3[[#This Row],[P.U.]]</f>
        <v>0</v>
      </c>
      <c r="J2245" s="184"/>
    </row>
    <row r="2246" spans="1:10" ht="19.350000000000001" customHeight="1">
      <c r="A2246" s="102"/>
      <c r="B2246" s="102"/>
      <c r="C2246" s="116"/>
      <c r="F2246" s="107"/>
      <c r="G2246" s="10"/>
      <c r="H2246" s="103"/>
      <c r="I2246" s="108">
        <f>Tableau3[[#This Row],[Stock final]]*Tableau3[[#This Row],[P.U.]]</f>
        <v>0</v>
      </c>
      <c r="J2246" s="184"/>
    </row>
    <row r="2247" spans="1:10" ht="19.350000000000001" customHeight="1">
      <c r="A2247" s="102"/>
      <c r="B2247" s="102"/>
      <c r="C2247" s="116"/>
      <c r="F2247" s="107"/>
      <c r="G2247" s="10"/>
      <c r="H2247" s="103"/>
      <c r="I2247" s="108">
        <f>Tableau3[[#This Row],[Stock final]]*Tableau3[[#This Row],[P.U.]]</f>
        <v>0</v>
      </c>
      <c r="J2247" s="184"/>
    </row>
    <row r="2248" spans="1:10" ht="19.350000000000001" customHeight="1">
      <c r="A2248" s="102"/>
      <c r="B2248" s="102"/>
      <c r="C2248" s="116"/>
      <c r="F2248" s="107"/>
      <c r="G2248" s="10"/>
      <c r="H2248" s="103"/>
      <c r="I2248" s="108">
        <f>Tableau3[[#This Row],[Stock final]]*Tableau3[[#This Row],[P.U.]]</f>
        <v>0</v>
      </c>
      <c r="J2248" s="184"/>
    </row>
    <row r="2249" spans="1:10" ht="19.350000000000001" customHeight="1">
      <c r="A2249" s="102"/>
      <c r="B2249" s="102"/>
      <c r="C2249" s="116"/>
      <c r="F2249" s="107"/>
      <c r="G2249" s="10"/>
      <c r="H2249" s="103"/>
      <c r="I2249" s="108">
        <f>Tableau3[[#This Row],[Stock final]]*Tableau3[[#This Row],[P.U.]]</f>
        <v>0</v>
      </c>
      <c r="J2249" s="184"/>
    </row>
    <row r="2250" spans="1:10" ht="19.350000000000001" customHeight="1">
      <c r="A2250" s="102"/>
      <c r="B2250" s="102"/>
      <c r="C2250" s="116"/>
      <c r="F2250" s="107"/>
      <c r="G2250" s="10"/>
      <c r="H2250" s="103"/>
      <c r="I2250" s="108">
        <f>Tableau3[[#This Row],[Stock final]]*Tableau3[[#This Row],[P.U.]]</f>
        <v>0</v>
      </c>
      <c r="J2250" s="184"/>
    </row>
    <row r="2251" spans="1:10" ht="19.350000000000001" customHeight="1">
      <c r="A2251" s="102"/>
      <c r="B2251" s="102"/>
      <c r="C2251" s="116"/>
      <c r="F2251" s="107"/>
      <c r="G2251" s="10"/>
      <c r="H2251" s="103"/>
      <c r="I2251" s="108">
        <f>Tableau3[[#This Row],[Stock final]]*Tableau3[[#This Row],[P.U.]]</f>
        <v>0</v>
      </c>
      <c r="J2251" s="184"/>
    </row>
    <row r="2252" spans="1:10" ht="19.350000000000001" customHeight="1">
      <c r="A2252" s="102"/>
      <c r="B2252" s="102"/>
      <c r="C2252" s="116"/>
      <c r="F2252" s="107"/>
      <c r="G2252" s="10"/>
      <c r="H2252" s="103"/>
      <c r="I2252" s="108">
        <f>Tableau3[[#This Row],[Stock final]]*Tableau3[[#This Row],[P.U.]]</f>
        <v>0</v>
      </c>
      <c r="J2252" s="184"/>
    </row>
    <row r="2253" spans="1:10" ht="19.350000000000001" customHeight="1">
      <c r="A2253" s="102"/>
      <c r="B2253" s="102"/>
      <c r="C2253" s="116"/>
      <c r="F2253" s="107"/>
      <c r="G2253" s="10"/>
      <c r="H2253" s="103"/>
      <c r="I2253" s="108">
        <f>Tableau3[[#This Row],[Stock final]]*Tableau3[[#This Row],[P.U.]]</f>
        <v>0</v>
      </c>
      <c r="J2253" s="184"/>
    </row>
    <row r="2254" spans="1:10" ht="19.350000000000001" customHeight="1">
      <c r="A2254" s="102"/>
      <c r="B2254" s="102"/>
      <c r="C2254" s="116"/>
      <c r="F2254" s="107"/>
      <c r="G2254" s="10"/>
      <c r="H2254" s="103"/>
      <c r="I2254" s="108">
        <f>Tableau3[[#This Row],[Stock final]]*Tableau3[[#This Row],[P.U.]]</f>
        <v>0</v>
      </c>
      <c r="J2254" s="184"/>
    </row>
    <row r="2255" spans="1:10" ht="19.350000000000001" customHeight="1">
      <c r="A2255" s="102"/>
      <c r="B2255" s="102"/>
      <c r="C2255" s="116"/>
      <c r="F2255" s="107"/>
      <c r="G2255" s="10"/>
      <c r="H2255" s="103"/>
      <c r="I2255" s="108">
        <f>Tableau3[[#This Row],[Stock final]]*Tableau3[[#This Row],[P.U.]]</f>
        <v>0</v>
      </c>
      <c r="J2255" s="184"/>
    </row>
    <row r="2256" spans="1:10" ht="19.350000000000001" customHeight="1">
      <c r="A2256" s="102"/>
      <c r="B2256" s="102"/>
      <c r="C2256" s="116"/>
      <c r="F2256" s="107"/>
      <c r="G2256" s="10"/>
      <c r="H2256" s="103"/>
      <c r="I2256" s="108">
        <f>Tableau3[[#This Row],[Stock final]]*Tableau3[[#This Row],[P.U.]]</f>
        <v>0</v>
      </c>
      <c r="J2256" s="184"/>
    </row>
    <row r="2257" spans="1:10" ht="19.350000000000001" customHeight="1">
      <c r="A2257" s="102"/>
      <c r="B2257" s="102"/>
      <c r="C2257" s="116"/>
      <c r="F2257" s="107"/>
      <c r="G2257" s="10"/>
      <c r="H2257" s="103"/>
      <c r="I2257" s="108">
        <f>Tableau3[[#This Row],[Stock final]]*Tableau3[[#This Row],[P.U.]]</f>
        <v>0</v>
      </c>
      <c r="J2257" s="184"/>
    </row>
    <row r="2258" spans="1:10" ht="19.350000000000001" customHeight="1">
      <c r="A2258" s="102"/>
      <c r="B2258" s="102"/>
      <c r="C2258" s="116"/>
      <c r="F2258" s="107"/>
      <c r="G2258" s="10"/>
      <c r="H2258" s="103"/>
      <c r="I2258" s="108">
        <f>Tableau3[[#This Row],[Stock final]]*Tableau3[[#This Row],[P.U.]]</f>
        <v>0</v>
      </c>
      <c r="J2258" s="184"/>
    </row>
    <row r="2259" spans="1:10" ht="19.350000000000001" customHeight="1">
      <c r="A2259" s="102"/>
      <c r="B2259" s="102"/>
      <c r="C2259" s="116"/>
      <c r="F2259" s="107"/>
      <c r="G2259" s="10"/>
      <c r="H2259" s="103"/>
      <c r="I2259" s="108">
        <f>Tableau3[[#This Row],[Stock final]]*Tableau3[[#This Row],[P.U.]]</f>
        <v>0</v>
      </c>
      <c r="J2259" s="184"/>
    </row>
    <row r="2260" spans="1:10" ht="19.350000000000001" customHeight="1">
      <c r="A2260" s="102"/>
      <c r="B2260" s="102"/>
      <c r="C2260" s="116"/>
      <c r="F2260" s="107"/>
      <c r="G2260" s="10"/>
      <c r="H2260" s="103"/>
      <c r="I2260" s="108">
        <f>Tableau3[[#This Row],[Stock final]]*Tableau3[[#This Row],[P.U.]]</f>
        <v>0</v>
      </c>
      <c r="J2260" s="184"/>
    </row>
    <row r="2261" spans="1:10" ht="19.350000000000001" customHeight="1">
      <c r="A2261" s="102"/>
      <c r="B2261" s="102"/>
      <c r="C2261" s="116"/>
      <c r="F2261" s="107"/>
      <c r="G2261" s="10"/>
      <c r="H2261" s="103"/>
      <c r="I2261" s="108">
        <f>Tableau3[[#This Row],[Stock final]]*Tableau3[[#This Row],[P.U.]]</f>
        <v>0</v>
      </c>
      <c r="J2261" s="184"/>
    </row>
    <row r="2262" spans="1:10" ht="19.350000000000001" customHeight="1">
      <c r="A2262" s="102"/>
      <c r="B2262" s="102"/>
      <c r="C2262" s="116"/>
      <c r="F2262" s="107"/>
      <c r="G2262" s="10"/>
      <c r="H2262" s="103"/>
      <c r="I2262" s="108">
        <f>Tableau3[[#This Row],[Stock final]]*Tableau3[[#This Row],[P.U.]]</f>
        <v>0</v>
      </c>
      <c r="J2262" s="184"/>
    </row>
    <row r="2263" spans="1:10" ht="19.350000000000001" customHeight="1">
      <c r="A2263" s="102"/>
      <c r="B2263" s="102"/>
      <c r="C2263" s="116"/>
      <c r="F2263" s="107"/>
      <c r="G2263" s="10"/>
      <c r="H2263" s="103"/>
      <c r="I2263" s="108">
        <f>Tableau3[[#This Row],[Stock final]]*Tableau3[[#This Row],[P.U.]]</f>
        <v>0</v>
      </c>
      <c r="J2263" s="184"/>
    </row>
    <row r="2264" spans="1:10" ht="19.350000000000001" customHeight="1">
      <c r="A2264" s="102"/>
      <c r="B2264" s="102"/>
      <c r="C2264" s="116"/>
      <c r="F2264" s="107"/>
      <c r="G2264" s="10"/>
      <c r="H2264" s="103"/>
      <c r="I2264" s="108">
        <f>Tableau3[[#This Row],[Stock final]]*Tableau3[[#This Row],[P.U.]]</f>
        <v>0</v>
      </c>
      <c r="J2264" s="184"/>
    </row>
    <row r="2265" spans="1:10" ht="19.350000000000001" customHeight="1">
      <c r="A2265" s="102"/>
      <c r="B2265" s="102"/>
      <c r="C2265" s="116"/>
      <c r="F2265" s="107"/>
      <c r="G2265" s="10"/>
      <c r="H2265" s="103"/>
      <c r="I2265" s="108">
        <f>Tableau3[[#This Row],[Stock final]]*Tableau3[[#This Row],[P.U.]]</f>
        <v>0</v>
      </c>
      <c r="J2265" s="184"/>
    </row>
    <row r="2266" spans="1:10" ht="19.350000000000001" customHeight="1">
      <c r="A2266" s="102"/>
      <c r="B2266" s="102"/>
      <c r="C2266" s="116"/>
      <c r="F2266" s="107"/>
      <c r="G2266" s="10"/>
      <c r="H2266" s="103"/>
      <c r="I2266" s="108">
        <f>Tableau3[[#This Row],[Stock final]]*Tableau3[[#This Row],[P.U.]]</f>
        <v>0</v>
      </c>
      <c r="J2266" s="184"/>
    </row>
    <row r="2267" spans="1:10" ht="19.350000000000001" customHeight="1">
      <c r="A2267" s="102"/>
      <c r="B2267" s="102"/>
      <c r="C2267" s="116"/>
      <c r="F2267" s="107"/>
      <c r="G2267" s="10"/>
      <c r="H2267" s="103"/>
      <c r="I2267" s="108">
        <f>Tableau3[[#This Row],[Stock final]]*Tableau3[[#This Row],[P.U.]]</f>
        <v>0</v>
      </c>
      <c r="J2267" s="184"/>
    </row>
    <row r="2268" spans="1:10" ht="19.350000000000001" customHeight="1">
      <c r="A2268" s="102"/>
      <c r="B2268" s="102"/>
      <c r="C2268" s="116"/>
      <c r="F2268" s="107"/>
      <c r="G2268" s="10"/>
      <c r="H2268" s="103"/>
      <c r="I2268" s="108">
        <f>Tableau3[[#This Row],[Stock final]]*Tableau3[[#This Row],[P.U.]]</f>
        <v>0</v>
      </c>
      <c r="J2268" s="184"/>
    </row>
    <row r="2269" spans="1:10" ht="19.350000000000001" customHeight="1">
      <c r="A2269" s="102"/>
      <c r="B2269" s="102"/>
      <c r="C2269" s="116"/>
      <c r="F2269" s="107"/>
      <c r="G2269" s="10"/>
      <c r="H2269" s="103"/>
      <c r="I2269" s="108">
        <f>Tableau3[[#This Row],[Stock final]]*Tableau3[[#This Row],[P.U.]]</f>
        <v>0</v>
      </c>
      <c r="J2269" s="184"/>
    </row>
    <row r="2270" spans="1:10" ht="19.350000000000001" customHeight="1">
      <c r="A2270" s="102"/>
      <c r="B2270" s="102"/>
      <c r="C2270" s="116"/>
      <c r="F2270" s="107"/>
      <c r="G2270" s="10"/>
      <c r="H2270" s="103"/>
      <c r="I2270" s="108">
        <f>Tableau3[[#This Row],[Stock final]]*Tableau3[[#This Row],[P.U.]]</f>
        <v>0</v>
      </c>
      <c r="J2270" s="184"/>
    </row>
    <row r="2271" spans="1:10" ht="19.350000000000001" customHeight="1">
      <c r="A2271" s="102"/>
      <c r="B2271" s="102"/>
      <c r="C2271" s="116"/>
      <c r="F2271" s="107"/>
      <c r="G2271" s="10"/>
      <c r="H2271" s="103"/>
      <c r="I2271" s="108">
        <f>Tableau3[[#This Row],[Stock final]]*Tableau3[[#This Row],[P.U.]]</f>
        <v>0</v>
      </c>
      <c r="J2271" s="184"/>
    </row>
    <row r="2272" spans="1:10" ht="19.350000000000001" customHeight="1">
      <c r="A2272" s="102"/>
      <c r="B2272" s="102"/>
      <c r="C2272" s="116"/>
      <c r="F2272" s="107"/>
      <c r="G2272" s="10"/>
      <c r="H2272" s="103"/>
      <c r="I2272" s="108">
        <f>Tableau3[[#This Row],[Stock final]]*Tableau3[[#This Row],[P.U.]]</f>
        <v>0</v>
      </c>
      <c r="J2272" s="184"/>
    </row>
    <row r="2273" spans="1:10" ht="19.350000000000001" customHeight="1">
      <c r="A2273" s="102"/>
      <c r="B2273" s="102"/>
      <c r="C2273" s="116"/>
      <c r="F2273" s="107"/>
      <c r="G2273" s="10"/>
      <c r="H2273" s="103"/>
      <c r="I2273" s="108">
        <f>Tableau3[[#This Row],[Stock final]]*Tableau3[[#This Row],[P.U.]]</f>
        <v>0</v>
      </c>
      <c r="J2273" s="184"/>
    </row>
    <row r="2274" spans="1:10" ht="19.350000000000001" customHeight="1">
      <c r="A2274" s="102"/>
      <c r="B2274" s="102"/>
      <c r="C2274" s="116"/>
      <c r="F2274" s="107"/>
      <c r="G2274" s="10"/>
      <c r="H2274" s="103"/>
      <c r="I2274" s="108">
        <f>Tableau3[[#This Row],[Stock final]]*Tableau3[[#This Row],[P.U.]]</f>
        <v>0</v>
      </c>
      <c r="J2274" s="184"/>
    </row>
    <row r="2275" spans="1:10" ht="19.350000000000001" customHeight="1">
      <c r="A2275" s="102"/>
      <c r="B2275" s="102"/>
      <c r="C2275" s="116"/>
      <c r="F2275" s="107"/>
      <c r="G2275" s="10"/>
      <c r="H2275" s="103"/>
      <c r="I2275" s="108">
        <f>Tableau3[[#This Row],[Stock final]]*Tableau3[[#This Row],[P.U.]]</f>
        <v>0</v>
      </c>
      <c r="J2275" s="184"/>
    </row>
    <row r="2276" spans="1:10" ht="19.350000000000001" customHeight="1">
      <c r="A2276" s="102"/>
      <c r="B2276" s="102"/>
      <c r="C2276" s="116"/>
      <c r="F2276" s="107"/>
      <c r="G2276" s="10"/>
      <c r="H2276" s="103"/>
      <c r="I2276" s="108">
        <f>Tableau3[[#This Row],[Stock final]]*Tableau3[[#This Row],[P.U.]]</f>
        <v>0</v>
      </c>
      <c r="J2276" s="184"/>
    </row>
    <row r="2277" spans="1:10" ht="19.350000000000001" customHeight="1">
      <c r="A2277" s="102"/>
      <c r="B2277" s="102"/>
      <c r="C2277" s="116"/>
      <c r="F2277" s="107"/>
      <c r="G2277" s="10"/>
      <c r="H2277" s="103"/>
      <c r="I2277" s="108">
        <f>Tableau3[[#This Row],[Stock final]]*Tableau3[[#This Row],[P.U.]]</f>
        <v>0</v>
      </c>
      <c r="J2277" s="184"/>
    </row>
    <row r="2278" spans="1:10" ht="19.350000000000001" customHeight="1">
      <c r="A2278" s="102"/>
      <c r="B2278" s="102"/>
      <c r="C2278" s="116"/>
      <c r="F2278" s="107"/>
      <c r="G2278" s="10"/>
      <c r="H2278" s="103"/>
      <c r="I2278" s="108">
        <f>Tableau3[[#This Row],[Stock final]]*Tableau3[[#This Row],[P.U.]]</f>
        <v>0</v>
      </c>
      <c r="J2278" s="184"/>
    </row>
    <row r="2279" spans="1:10" ht="19.350000000000001" customHeight="1">
      <c r="A2279" s="102"/>
      <c r="B2279" s="102"/>
      <c r="C2279" s="116"/>
      <c r="F2279" s="107"/>
      <c r="G2279" s="10"/>
      <c r="H2279" s="103"/>
      <c r="I2279" s="108">
        <f>Tableau3[[#This Row],[Stock final]]*Tableau3[[#This Row],[P.U.]]</f>
        <v>0</v>
      </c>
      <c r="J2279" s="184"/>
    </row>
    <row r="2280" spans="1:10" ht="19.350000000000001" customHeight="1">
      <c r="A2280" s="102"/>
      <c r="B2280" s="102"/>
      <c r="C2280" s="116"/>
      <c r="F2280" s="107"/>
      <c r="G2280" s="10"/>
      <c r="H2280" s="103"/>
      <c r="I2280" s="108">
        <f>Tableau3[[#This Row],[Stock final]]*Tableau3[[#This Row],[P.U.]]</f>
        <v>0</v>
      </c>
      <c r="J2280" s="184"/>
    </row>
    <row r="2281" spans="1:10" ht="19.350000000000001" customHeight="1">
      <c r="A2281" s="102"/>
      <c r="B2281" s="102"/>
      <c r="C2281" s="116"/>
      <c r="F2281" s="107"/>
      <c r="G2281" s="10"/>
      <c r="H2281" s="103"/>
      <c r="I2281" s="108">
        <f>Tableau3[[#This Row],[Stock final]]*Tableau3[[#This Row],[P.U.]]</f>
        <v>0</v>
      </c>
      <c r="J2281" s="184"/>
    </row>
    <row r="2282" spans="1:10" ht="19.350000000000001" customHeight="1">
      <c r="A2282" s="102"/>
      <c r="B2282" s="102"/>
      <c r="C2282" s="116"/>
      <c r="F2282" s="107"/>
      <c r="G2282" s="10"/>
      <c r="H2282" s="103"/>
      <c r="I2282" s="108">
        <f>Tableau3[[#This Row],[Stock final]]*Tableau3[[#This Row],[P.U.]]</f>
        <v>0</v>
      </c>
      <c r="J2282" s="184"/>
    </row>
    <row r="2283" spans="1:10" ht="19.350000000000001" customHeight="1">
      <c r="A2283" s="102"/>
      <c r="B2283" s="102"/>
      <c r="C2283" s="116"/>
      <c r="F2283" s="107"/>
      <c r="G2283" s="10"/>
      <c r="H2283" s="103"/>
      <c r="I2283" s="108">
        <f>Tableau3[[#This Row],[Stock final]]*Tableau3[[#This Row],[P.U.]]</f>
        <v>0</v>
      </c>
      <c r="J2283" s="184"/>
    </row>
    <row r="2284" spans="1:10" ht="19.350000000000001" customHeight="1">
      <c r="A2284" s="102"/>
      <c r="B2284" s="105" t="s">
        <v>1148</v>
      </c>
      <c r="C2284" s="119" t="s">
        <v>1149</v>
      </c>
      <c r="D2284" s="114" t="s">
        <v>1150</v>
      </c>
      <c r="F2284" s="107"/>
      <c r="G2284" s="10">
        <v>18</v>
      </c>
      <c r="H2284" s="103">
        <v>28</v>
      </c>
      <c r="I2284" s="108">
        <f>Tableau3[[#This Row],[Stock final]]*Tableau3[[#This Row],[P.U.]]</f>
        <v>504</v>
      </c>
      <c r="J2284" s="184"/>
    </row>
    <row r="2285" spans="1:10" ht="19.350000000000001" customHeight="1">
      <c r="A2285" s="102"/>
      <c r="B2285" s="102" t="s">
        <v>1148</v>
      </c>
      <c r="C2285" s="119" t="s">
        <v>1149</v>
      </c>
      <c r="D2285" s="114" t="s">
        <v>1151</v>
      </c>
      <c r="F2285" s="107"/>
      <c r="G2285" s="10">
        <v>16</v>
      </c>
      <c r="H2285" s="103">
        <v>28</v>
      </c>
      <c r="I2285" s="108">
        <f>Tableau3[[#This Row],[Stock final]]*Tableau3[[#This Row],[P.U.]]</f>
        <v>448</v>
      </c>
      <c r="J2285" s="184"/>
    </row>
    <row r="2286" spans="1:10" ht="19.350000000000001" customHeight="1">
      <c r="A2286" s="102"/>
      <c r="B2286" s="102" t="s">
        <v>1148</v>
      </c>
      <c r="C2286" s="120" t="s">
        <v>1149</v>
      </c>
      <c r="D2286" s="114" t="s">
        <v>1152</v>
      </c>
      <c r="F2286" s="107"/>
      <c r="G2286" s="10">
        <v>17</v>
      </c>
      <c r="H2286" s="103">
        <v>28</v>
      </c>
      <c r="I2286" s="108">
        <f>Tableau3[[#This Row],[Stock final]]*Tableau3[[#This Row],[P.U.]]</f>
        <v>476</v>
      </c>
      <c r="J2286" s="184"/>
    </row>
    <row r="2287" spans="1:10" ht="19.350000000000001" customHeight="1">
      <c r="A2287" s="102"/>
      <c r="B2287" s="102" t="s">
        <v>1148</v>
      </c>
      <c r="C2287" s="120" t="s">
        <v>1149</v>
      </c>
      <c r="D2287" s="114" t="s">
        <v>1153</v>
      </c>
      <c r="F2287" s="107"/>
      <c r="G2287" s="10">
        <v>20</v>
      </c>
      <c r="H2287" s="103">
        <v>28</v>
      </c>
      <c r="I2287" s="108">
        <f>Tableau3[[#This Row],[Stock final]]*Tableau3[[#This Row],[P.U.]]</f>
        <v>560</v>
      </c>
      <c r="J2287" s="184"/>
    </row>
    <row r="2288" spans="1:10" ht="19.350000000000001" customHeight="1">
      <c r="A2288" s="102"/>
      <c r="B2288" s="102" t="s">
        <v>1148</v>
      </c>
      <c r="C2288" s="116" t="s">
        <v>1149</v>
      </c>
      <c r="D2288" s="114" t="s">
        <v>1154</v>
      </c>
      <c r="F2288" s="107"/>
      <c r="G2288" s="10">
        <v>2</v>
      </c>
      <c r="H2288" s="103">
        <v>28</v>
      </c>
      <c r="I2288" s="108">
        <f>Tableau3[[#This Row],[Stock final]]*Tableau3[[#This Row],[P.U.]]</f>
        <v>56</v>
      </c>
      <c r="J2288" s="184"/>
    </row>
    <row r="2289" spans="1:10" ht="19.350000000000001" customHeight="1">
      <c r="A2289" s="102"/>
      <c r="B2289" s="102" t="s">
        <v>1148</v>
      </c>
      <c r="C2289" s="116" t="s">
        <v>1149</v>
      </c>
      <c r="D2289" s="114" t="s">
        <v>1155</v>
      </c>
      <c r="F2289" s="107"/>
      <c r="G2289" s="10">
        <v>20</v>
      </c>
      <c r="H2289" s="103">
        <v>18</v>
      </c>
      <c r="I2289" s="108">
        <f>Tableau3[[#This Row],[Stock final]]*Tableau3[[#This Row],[P.U.]]</f>
        <v>360</v>
      </c>
      <c r="J2289" s="184"/>
    </row>
    <row r="2290" spans="1:10" ht="19.350000000000001" customHeight="1">
      <c r="A2290" s="102"/>
      <c r="B2290" s="102" t="s">
        <v>1148</v>
      </c>
      <c r="C2290" s="116" t="s">
        <v>1149</v>
      </c>
      <c r="D2290" s="114" t="s">
        <v>1156</v>
      </c>
      <c r="F2290" s="107"/>
      <c r="G2290" s="10">
        <v>17</v>
      </c>
      <c r="H2290" s="103">
        <v>18</v>
      </c>
      <c r="I2290" s="108">
        <f>Tableau3[[#This Row],[Stock final]]*Tableau3[[#This Row],[P.U.]]</f>
        <v>306</v>
      </c>
      <c r="J2290" s="184"/>
    </row>
    <row r="2291" spans="1:10" ht="19.350000000000001" customHeight="1">
      <c r="A2291" s="102"/>
      <c r="B2291" s="102" t="s">
        <v>1148</v>
      </c>
      <c r="C2291" s="116" t="s">
        <v>1149</v>
      </c>
      <c r="D2291" s="114" t="s">
        <v>1157</v>
      </c>
      <c r="F2291" s="107"/>
      <c r="G2291" s="10">
        <v>18</v>
      </c>
      <c r="H2291" s="103">
        <v>18</v>
      </c>
      <c r="I2291" s="108">
        <f>Tableau3[[#This Row],[Stock final]]*Tableau3[[#This Row],[P.U.]]</f>
        <v>324</v>
      </c>
      <c r="J2291" s="184"/>
    </row>
    <row r="2292" spans="1:10" ht="19.350000000000001" customHeight="1">
      <c r="A2292" s="102"/>
      <c r="B2292" s="102" t="s">
        <v>1148</v>
      </c>
      <c r="C2292" s="116" t="s">
        <v>1149</v>
      </c>
      <c r="D2292" s="114" t="s">
        <v>1158</v>
      </c>
      <c r="F2292" s="107"/>
      <c r="G2292" s="10">
        <v>0</v>
      </c>
      <c r="H2292" s="103">
        <v>18</v>
      </c>
      <c r="I2292" s="108">
        <f>Tableau3[[#This Row],[Stock final]]*Tableau3[[#This Row],[P.U.]]</f>
        <v>0</v>
      </c>
      <c r="J2292" s="184"/>
    </row>
    <row r="2293" spans="1:10" ht="19.350000000000001" customHeight="1">
      <c r="A2293" s="102"/>
      <c r="B2293" s="102" t="s">
        <v>1148</v>
      </c>
      <c r="C2293" s="116" t="s">
        <v>1149</v>
      </c>
      <c r="D2293" s="114" t="s">
        <v>1159</v>
      </c>
      <c r="F2293" s="107"/>
      <c r="G2293" s="10">
        <v>13</v>
      </c>
      <c r="H2293" s="103">
        <v>18</v>
      </c>
      <c r="I2293" s="108">
        <f>Tableau3[[#This Row],[Stock final]]*Tableau3[[#This Row],[P.U.]]</f>
        <v>234</v>
      </c>
      <c r="J2293" s="184"/>
    </row>
    <row r="2294" spans="1:10" ht="19.350000000000001" customHeight="1">
      <c r="A2294" s="102"/>
      <c r="B2294" s="102" t="s">
        <v>1148</v>
      </c>
      <c r="C2294" s="116" t="s">
        <v>1149</v>
      </c>
      <c r="D2294" s="114" t="s">
        <v>1160</v>
      </c>
      <c r="F2294" s="107"/>
      <c r="G2294" s="10">
        <v>12</v>
      </c>
      <c r="H2294" s="103">
        <v>18</v>
      </c>
      <c r="I2294" s="108">
        <f>Tableau3[[#This Row],[Stock final]]*Tableau3[[#This Row],[P.U.]]</f>
        <v>216</v>
      </c>
      <c r="J2294" s="184"/>
    </row>
    <row r="2295" spans="1:10" ht="19.350000000000001" customHeight="1">
      <c r="A2295" s="102"/>
      <c r="B2295" s="102" t="s">
        <v>1148</v>
      </c>
      <c r="C2295" s="116" t="s">
        <v>1149</v>
      </c>
      <c r="D2295" s="114" t="s">
        <v>1161</v>
      </c>
      <c r="F2295" s="107"/>
      <c r="G2295" s="10">
        <v>9</v>
      </c>
      <c r="H2295" s="103">
        <v>18</v>
      </c>
      <c r="I2295" s="108">
        <f>Tableau3[[#This Row],[Stock final]]*Tableau3[[#This Row],[P.U.]]</f>
        <v>162</v>
      </c>
      <c r="J2295" s="184"/>
    </row>
    <row r="2296" spans="1:10" ht="19.350000000000001" customHeight="1">
      <c r="A2296" s="102"/>
      <c r="B2296" s="102" t="s">
        <v>1148</v>
      </c>
      <c r="C2296" s="116" t="s">
        <v>1149</v>
      </c>
      <c r="D2296" s="114" t="s">
        <v>1162</v>
      </c>
      <c r="F2296" s="107"/>
      <c r="G2296" s="10">
        <v>7</v>
      </c>
      <c r="H2296" s="103">
        <v>18</v>
      </c>
      <c r="I2296" s="108">
        <f>Tableau3[[#This Row],[Stock final]]*Tableau3[[#This Row],[P.U.]]</f>
        <v>126</v>
      </c>
      <c r="J2296" s="184"/>
    </row>
    <row r="2297" spans="1:10" ht="19.350000000000001" customHeight="1">
      <c r="A2297" s="102"/>
      <c r="B2297" s="102" t="s">
        <v>1148</v>
      </c>
      <c r="C2297" s="116" t="s">
        <v>1149</v>
      </c>
      <c r="D2297" s="114" t="s">
        <v>1163</v>
      </c>
      <c r="F2297" s="107"/>
      <c r="G2297" s="10">
        <v>14</v>
      </c>
      <c r="H2297" s="103">
        <v>18</v>
      </c>
      <c r="I2297" s="108">
        <f>Tableau3[[#This Row],[Stock final]]*Tableau3[[#This Row],[P.U.]]</f>
        <v>252</v>
      </c>
      <c r="J2297" s="184"/>
    </row>
    <row r="2298" spans="1:10" ht="19.350000000000001" customHeight="1">
      <c r="A2298" s="102"/>
      <c r="B2298" s="102" t="s">
        <v>1148</v>
      </c>
      <c r="C2298" s="116" t="s">
        <v>1149</v>
      </c>
      <c r="D2298" s="114" t="s">
        <v>1164</v>
      </c>
      <c r="F2298" s="107"/>
      <c r="G2298" s="10">
        <v>3</v>
      </c>
      <c r="H2298" s="103">
        <v>96</v>
      </c>
      <c r="I2298" s="108">
        <f>Tableau3[[#This Row],[Stock final]]*Tableau3[[#This Row],[P.U.]]</f>
        <v>288</v>
      </c>
      <c r="J2298" s="184"/>
    </row>
    <row r="2299" spans="1:10" ht="19.350000000000001" customHeight="1">
      <c r="A2299" s="102"/>
      <c r="B2299" s="102" t="s">
        <v>1148</v>
      </c>
      <c r="C2299" s="116" t="s">
        <v>1149</v>
      </c>
      <c r="D2299" s="114" t="s">
        <v>1165</v>
      </c>
      <c r="F2299" s="107"/>
      <c r="G2299" s="10">
        <v>2</v>
      </c>
      <c r="H2299" s="103">
        <v>96</v>
      </c>
      <c r="I2299" s="108">
        <f>Tableau3[[#This Row],[Stock final]]*Tableau3[[#This Row],[P.U.]]</f>
        <v>192</v>
      </c>
      <c r="J2299" s="184"/>
    </row>
    <row r="2300" spans="1:10" ht="19.350000000000001" customHeight="1">
      <c r="A2300" s="102"/>
      <c r="B2300" s="102" t="s">
        <v>1148</v>
      </c>
      <c r="C2300" s="116" t="s">
        <v>1149</v>
      </c>
      <c r="D2300" s="114" t="s">
        <v>1166</v>
      </c>
      <c r="F2300" s="107"/>
      <c r="G2300" s="10">
        <v>2</v>
      </c>
      <c r="H2300" s="103">
        <v>96</v>
      </c>
      <c r="I2300" s="108">
        <f>Tableau3[[#This Row],[Stock final]]*Tableau3[[#This Row],[P.U.]]</f>
        <v>192</v>
      </c>
      <c r="J2300" s="184"/>
    </row>
    <row r="2301" spans="1:10" ht="19.350000000000001" customHeight="1">
      <c r="A2301" s="102"/>
      <c r="B2301" s="102"/>
      <c r="C2301" s="116"/>
      <c r="F2301" s="107"/>
      <c r="G2301" s="10"/>
      <c r="H2301" s="103"/>
      <c r="I2301" s="108">
        <f>Tableau3[[#This Row],[Stock final]]*Tableau3[[#This Row],[P.U.]]</f>
        <v>0</v>
      </c>
      <c r="J2301" s="184"/>
    </row>
    <row r="2302" spans="1:10" ht="19.350000000000001" customHeight="1">
      <c r="A2302" s="102"/>
      <c r="B2302" s="102" t="s">
        <v>1148</v>
      </c>
      <c r="C2302" s="116"/>
      <c r="D2302" s="11" t="s">
        <v>1461</v>
      </c>
      <c r="F2302" s="107"/>
      <c r="G2302" s="10">
        <v>6</v>
      </c>
      <c r="H2302" s="103">
        <v>24.95</v>
      </c>
      <c r="I2302" s="108">
        <f>Tableau3[[#This Row],[Stock final]]*Tableau3[[#This Row],[P.U.]]</f>
        <v>149.69999999999999</v>
      </c>
      <c r="J2302" s="184"/>
    </row>
    <row r="2303" spans="1:10" ht="19.350000000000001" customHeight="1">
      <c r="A2303" s="102"/>
      <c r="B2303" s="102"/>
      <c r="C2303" s="116"/>
      <c r="F2303" s="107"/>
      <c r="G2303" s="10"/>
      <c r="H2303" s="103"/>
      <c r="I2303" s="108">
        <f>Tableau3[[#This Row],[Stock final]]*Tableau3[[#This Row],[P.U.]]</f>
        <v>0</v>
      </c>
      <c r="J2303" s="184"/>
    </row>
    <row r="2304" spans="1:10" ht="19.350000000000001" customHeight="1">
      <c r="A2304" s="102"/>
      <c r="B2304" s="102"/>
      <c r="C2304" s="116"/>
      <c r="F2304" s="107"/>
      <c r="G2304" s="10"/>
      <c r="H2304" s="103"/>
      <c r="I2304" s="108">
        <f>Tableau3[[#This Row],[Stock final]]*Tableau3[[#This Row],[P.U.]]</f>
        <v>0</v>
      </c>
      <c r="J2304" s="184"/>
    </row>
    <row r="2305" spans="1:10" ht="19.350000000000001" customHeight="1">
      <c r="A2305" s="102"/>
      <c r="B2305" s="102"/>
      <c r="C2305" s="116"/>
      <c r="F2305" s="107"/>
      <c r="G2305" s="10"/>
      <c r="H2305" s="103"/>
      <c r="I2305" s="108">
        <f>Tableau3[[#This Row],[Stock final]]*Tableau3[[#This Row],[P.U.]]</f>
        <v>0</v>
      </c>
      <c r="J2305" s="184"/>
    </row>
    <row r="2306" spans="1:10" ht="19.350000000000001" customHeight="1">
      <c r="A2306" s="102"/>
      <c r="B2306" s="102"/>
      <c r="C2306" s="116"/>
      <c r="F2306" s="107"/>
      <c r="G2306" s="10"/>
      <c r="H2306" s="103"/>
      <c r="I2306" s="108">
        <f>Tableau3[[#This Row],[Stock final]]*Tableau3[[#This Row],[P.U.]]</f>
        <v>0</v>
      </c>
      <c r="J2306" s="184"/>
    </row>
    <row r="2307" spans="1:10" ht="19.350000000000001" customHeight="1">
      <c r="A2307" s="102"/>
      <c r="B2307" s="102"/>
      <c r="C2307" s="116"/>
      <c r="F2307" s="107"/>
      <c r="G2307" s="10"/>
      <c r="H2307" s="103"/>
      <c r="I2307" s="108">
        <f>Tableau3[[#This Row],[Stock final]]*Tableau3[[#This Row],[P.U.]]</f>
        <v>0</v>
      </c>
      <c r="J2307" s="184"/>
    </row>
    <row r="2308" spans="1:10" ht="19.350000000000001" customHeight="1">
      <c r="A2308" s="102"/>
      <c r="B2308" s="102"/>
      <c r="C2308" s="116"/>
      <c r="F2308" s="107"/>
      <c r="G2308" s="10"/>
      <c r="H2308" s="103"/>
      <c r="I2308" s="108">
        <f>Tableau3[[#This Row],[Stock final]]*Tableau3[[#This Row],[P.U.]]</f>
        <v>0</v>
      </c>
      <c r="J2308" s="184"/>
    </row>
    <row r="2309" spans="1:10" ht="19.350000000000001" customHeight="1">
      <c r="A2309" s="102"/>
      <c r="B2309" s="102"/>
      <c r="C2309" s="116"/>
      <c r="F2309" s="107"/>
      <c r="G2309" s="10"/>
      <c r="H2309" s="103"/>
      <c r="I2309" s="108">
        <f>Tableau3[[#This Row],[Stock final]]*Tableau3[[#This Row],[P.U.]]</f>
        <v>0</v>
      </c>
      <c r="J2309" s="184"/>
    </row>
    <row r="2310" spans="1:10" ht="19.350000000000001" customHeight="1">
      <c r="A2310" s="102"/>
      <c r="B2310" s="102"/>
      <c r="C2310" s="116"/>
      <c r="F2310" s="107"/>
      <c r="G2310" s="10"/>
      <c r="H2310" s="103"/>
      <c r="I2310" s="108">
        <f>Tableau3[[#This Row],[Stock final]]*Tableau3[[#This Row],[P.U.]]</f>
        <v>0</v>
      </c>
      <c r="J2310" s="184"/>
    </row>
    <row r="2311" spans="1:10" ht="19.350000000000001" customHeight="1">
      <c r="A2311" s="102"/>
      <c r="B2311" s="102"/>
      <c r="C2311" s="116"/>
      <c r="F2311" s="107"/>
      <c r="G2311" s="10"/>
      <c r="H2311" s="103"/>
      <c r="I2311" s="108">
        <f>Tableau3[[#This Row],[Stock final]]*Tableau3[[#This Row],[P.U.]]</f>
        <v>0</v>
      </c>
      <c r="J2311" s="184"/>
    </row>
    <row r="2312" spans="1:10" ht="19.350000000000001" customHeight="1">
      <c r="A2312" s="102"/>
      <c r="B2312" s="102"/>
      <c r="C2312" s="116"/>
      <c r="F2312" s="107"/>
      <c r="G2312" s="10"/>
      <c r="H2312" s="103"/>
      <c r="I2312" s="108">
        <f>Tableau3[[#This Row],[Stock final]]*Tableau3[[#This Row],[P.U.]]</f>
        <v>0</v>
      </c>
      <c r="J2312" s="184"/>
    </row>
    <row r="2313" spans="1:10" ht="19.350000000000001" customHeight="1">
      <c r="A2313" s="102"/>
      <c r="B2313" s="102"/>
      <c r="C2313" s="116"/>
      <c r="F2313" s="107"/>
      <c r="G2313" s="10"/>
      <c r="H2313" s="103"/>
      <c r="I2313" s="108">
        <f>Tableau3[[#This Row],[Stock final]]*Tableau3[[#This Row],[P.U.]]</f>
        <v>0</v>
      </c>
      <c r="J2313" s="184"/>
    </row>
    <row r="2314" spans="1:10" ht="19.350000000000001" customHeight="1">
      <c r="A2314" s="102"/>
      <c r="B2314" s="102"/>
      <c r="C2314" s="116"/>
      <c r="F2314" s="107"/>
      <c r="G2314" s="10"/>
      <c r="H2314" s="103"/>
      <c r="I2314" s="108">
        <f>Tableau3[[#This Row],[Stock final]]*Tableau3[[#This Row],[P.U.]]</f>
        <v>0</v>
      </c>
      <c r="J2314" s="184"/>
    </row>
    <row r="2315" spans="1:10" ht="19.350000000000001" customHeight="1">
      <c r="A2315" s="102"/>
      <c r="B2315" s="102"/>
      <c r="C2315" s="116"/>
      <c r="F2315" s="107"/>
      <c r="G2315" s="10"/>
      <c r="H2315" s="103"/>
      <c r="I2315" s="108">
        <f>Tableau3[[#This Row],[Stock final]]*Tableau3[[#This Row],[P.U.]]</f>
        <v>0</v>
      </c>
      <c r="J2315" s="184"/>
    </row>
    <row r="2316" spans="1:10" ht="19.350000000000001" customHeight="1">
      <c r="A2316" s="102"/>
      <c r="B2316" s="102"/>
      <c r="C2316" s="116"/>
      <c r="F2316" s="107"/>
      <c r="G2316" s="10"/>
      <c r="H2316" s="103"/>
      <c r="I2316" s="108">
        <f>Tableau3[[#This Row],[Stock final]]*Tableau3[[#This Row],[P.U.]]</f>
        <v>0</v>
      </c>
      <c r="J2316" s="184"/>
    </row>
    <row r="2317" spans="1:10" ht="19.350000000000001" customHeight="1">
      <c r="A2317" s="102"/>
      <c r="B2317" s="102"/>
      <c r="C2317" s="116"/>
      <c r="F2317" s="107"/>
      <c r="G2317" s="10"/>
      <c r="H2317" s="103"/>
      <c r="I2317" s="108">
        <f>Tableau3[[#This Row],[Stock final]]*Tableau3[[#This Row],[P.U.]]</f>
        <v>0</v>
      </c>
      <c r="J2317" s="184"/>
    </row>
    <row r="2318" spans="1:10" ht="19.350000000000001" customHeight="1">
      <c r="A2318" s="102"/>
      <c r="B2318" s="102"/>
      <c r="C2318" s="116"/>
      <c r="F2318" s="107"/>
      <c r="G2318" s="10"/>
      <c r="H2318" s="103"/>
      <c r="I2318" s="108">
        <f>Tableau3[[#This Row],[Stock final]]*Tableau3[[#This Row],[P.U.]]</f>
        <v>0</v>
      </c>
      <c r="J2318" s="184"/>
    </row>
    <row r="2319" spans="1:10" ht="19.350000000000001" customHeight="1">
      <c r="A2319" s="102"/>
      <c r="B2319" s="102"/>
      <c r="C2319" s="116"/>
      <c r="F2319" s="107"/>
      <c r="G2319" s="10"/>
      <c r="H2319" s="103"/>
      <c r="I2319" s="108">
        <f>Tableau3[[#This Row],[Stock final]]*Tableau3[[#This Row],[P.U.]]</f>
        <v>0</v>
      </c>
      <c r="J2319" s="184"/>
    </row>
    <row r="2320" spans="1:10" ht="19.350000000000001" customHeight="1">
      <c r="A2320" s="102"/>
      <c r="B2320" s="102"/>
      <c r="C2320" s="116"/>
      <c r="F2320" s="107"/>
      <c r="G2320" s="10"/>
      <c r="H2320" s="103"/>
      <c r="I2320" s="108">
        <f>Tableau3[[#This Row],[Stock final]]*Tableau3[[#This Row],[P.U.]]</f>
        <v>0</v>
      </c>
      <c r="J2320" s="184"/>
    </row>
    <row r="2321" spans="1:10" ht="19.350000000000001" customHeight="1">
      <c r="A2321" s="102"/>
      <c r="B2321" s="102"/>
      <c r="C2321" s="116"/>
      <c r="F2321" s="107"/>
      <c r="G2321" s="10"/>
      <c r="H2321" s="103"/>
      <c r="I2321" s="108">
        <f>Tableau3[[#This Row],[Stock final]]*Tableau3[[#This Row],[P.U.]]</f>
        <v>0</v>
      </c>
      <c r="J2321" s="184"/>
    </row>
    <row r="2322" spans="1:10" ht="19.350000000000001" customHeight="1">
      <c r="A2322" s="102"/>
      <c r="B2322" s="102"/>
      <c r="C2322" s="116"/>
      <c r="F2322" s="107"/>
      <c r="G2322" s="10"/>
      <c r="H2322" s="103"/>
      <c r="I2322" s="108">
        <f>Tableau3[[#This Row],[Stock final]]*Tableau3[[#This Row],[P.U.]]</f>
        <v>0</v>
      </c>
      <c r="J2322" s="184"/>
    </row>
    <row r="2323" spans="1:10" ht="19.350000000000001" customHeight="1">
      <c r="A2323" s="102"/>
      <c r="B2323" s="102"/>
      <c r="C2323" s="116"/>
      <c r="F2323" s="107"/>
      <c r="G2323" s="10"/>
      <c r="H2323" s="103"/>
      <c r="I2323" s="108">
        <f>Tableau3[[#This Row],[Stock final]]*Tableau3[[#This Row],[P.U.]]</f>
        <v>0</v>
      </c>
      <c r="J2323" s="184"/>
    </row>
    <row r="2324" spans="1:10" ht="19.350000000000001" customHeight="1">
      <c r="A2324" s="102"/>
      <c r="B2324" s="102"/>
      <c r="C2324" s="116"/>
      <c r="F2324" s="107"/>
      <c r="G2324" s="10"/>
      <c r="H2324" s="103"/>
      <c r="I2324" s="108">
        <f>Tableau3[[#This Row],[Stock final]]*Tableau3[[#This Row],[P.U.]]</f>
        <v>0</v>
      </c>
      <c r="J2324" s="184"/>
    </row>
    <row r="2325" spans="1:10" ht="19.350000000000001" customHeight="1">
      <c r="A2325" s="102"/>
      <c r="B2325" s="102"/>
      <c r="C2325" s="116"/>
      <c r="F2325" s="107"/>
      <c r="G2325" s="10"/>
      <c r="H2325" s="103"/>
      <c r="I2325" s="108">
        <f>Tableau3[[#This Row],[Stock final]]*Tableau3[[#This Row],[P.U.]]</f>
        <v>0</v>
      </c>
      <c r="J2325" s="184"/>
    </row>
    <row r="2326" spans="1:10" ht="19.350000000000001" customHeight="1">
      <c r="A2326" s="102"/>
      <c r="B2326" s="102"/>
      <c r="C2326" s="116"/>
      <c r="F2326" s="107"/>
      <c r="G2326" s="10"/>
      <c r="H2326" s="103"/>
      <c r="I2326" s="108">
        <f>Tableau3[[#This Row],[Stock final]]*Tableau3[[#This Row],[P.U.]]</f>
        <v>0</v>
      </c>
      <c r="J2326" s="184"/>
    </row>
    <row r="2327" spans="1:10" ht="19.350000000000001" customHeight="1">
      <c r="A2327" s="102"/>
      <c r="B2327" s="102"/>
      <c r="C2327" s="116"/>
      <c r="F2327" s="107"/>
      <c r="G2327" s="10"/>
      <c r="H2327" s="103"/>
      <c r="I2327" s="108">
        <f>Tableau3[[#This Row],[Stock final]]*Tableau3[[#This Row],[P.U.]]</f>
        <v>0</v>
      </c>
      <c r="J2327" s="184"/>
    </row>
    <row r="2328" spans="1:10" ht="19.350000000000001" customHeight="1">
      <c r="A2328" s="102"/>
      <c r="B2328" s="102"/>
      <c r="C2328" s="116"/>
      <c r="F2328" s="107"/>
      <c r="G2328" s="10"/>
      <c r="H2328" s="103"/>
      <c r="I2328" s="108">
        <f>Tableau3[[#This Row],[Stock final]]*Tableau3[[#This Row],[P.U.]]</f>
        <v>0</v>
      </c>
      <c r="J2328" s="184"/>
    </row>
    <row r="2329" spans="1:10" ht="19.350000000000001" customHeight="1">
      <c r="A2329" s="102"/>
      <c r="B2329" s="102"/>
      <c r="C2329" s="116"/>
      <c r="F2329" s="107"/>
      <c r="G2329" s="10"/>
      <c r="H2329" s="103"/>
      <c r="I2329" s="108">
        <f>Tableau3[[#This Row],[Stock final]]*Tableau3[[#This Row],[P.U.]]</f>
        <v>0</v>
      </c>
      <c r="J2329" s="184"/>
    </row>
    <row r="2330" spans="1:10" ht="19.350000000000001" customHeight="1">
      <c r="A2330" s="102"/>
      <c r="B2330" s="102"/>
      <c r="C2330" s="116"/>
      <c r="F2330" s="107"/>
      <c r="G2330" s="10"/>
      <c r="H2330" s="103"/>
      <c r="I2330" s="108">
        <f>Tableau3[[#This Row],[Stock final]]*Tableau3[[#This Row],[P.U.]]</f>
        <v>0</v>
      </c>
      <c r="J2330" s="184"/>
    </row>
    <row r="2331" spans="1:10" ht="19.350000000000001" customHeight="1">
      <c r="A2331" s="102"/>
      <c r="B2331" s="102"/>
      <c r="C2331" s="116"/>
      <c r="F2331" s="107"/>
      <c r="G2331" s="10"/>
      <c r="H2331" s="103"/>
      <c r="I2331" s="108">
        <f>Tableau3[[#This Row],[Stock final]]*Tableau3[[#This Row],[P.U.]]</f>
        <v>0</v>
      </c>
      <c r="J2331" s="184"/>
    </row>
    <row r="2332" spans="1:10" ht="19.350000000000001" customHeight="1">
      <c r="A2332" s="102"/>
      <c r="B2332" s="102"/>
      <c r="C2332" s="116"/>
      <c r="F2332" s="107"/>
      <c r="G2332" s="10"/>
      <c r="H2332" s="103"/>
      <c r="I2332" s="108">
        <f>Tableau3[[#This Row],[Stock final]]*Tableau3[[#This Row],[P.U.]]</f>
        <v>0</v>
      </c>
      <c r="J2332" s="184"/>
    </row>
    <row r="2333" spans="1:10" ht="19.350000000000001" customHeight="1">
      <c r="A2333" s="102"/>
      <c r="B2333" s="102"/>
      <c r="C2333" s="116"/>
      <c r="F2333" s="107"/>
      <c r="G2333" s="10"/>
      <c r="H2333" s="103"/>
      <c r="I2333" s="108">
        <f>Tableau3[[#This Row],[Stock final]]*Tableau3[[#This Row],[P.U.]]</f>
        <v>0</v>
      </c>
      <c r="J2333" s="184"/>
    </row>
    <row r="2334" spans="1:10" ht="19.350000000000001" customHeight="1">
      <c r="A2334" s="102"/>
      <c r="B2334" s="102"/>
      <c r="C2334" s="116"/>
      <c r="F2334" s="107"/>
      <c r="G2334" s="10"/>
      <c r="H2334" s="103"/>
      <c r="I2334" s="108">
        <f>Tableau3[[#This Row],[Stock final]]*Tableau3[[#This Row],[P.U.]]</f>
        <v>0</v>
      </c>
      <c r="J2334" s="184"/>
    </row>
    <row r="2335" spans="1:10" ht="19.350000000000001" customHeight="1">
      <c r="A2335" s="102"/>
      <c r="B2335" s="102"/>
      <c r="C2335" s="116"/>
      <c r="F2335" s="107"/>
      <c r="G2335" s="10"/>
      <c r="H2335" s="103"/>
      <c r="I2335" s="108">
        <f>Tableau3[[#This Row],[Stock final]]*Tableau3[[#This Row],[P.U.]]</f>
        <v>0</v>
      </c>
      <c r="J2335" s="184"/>
    </row>
    <row r="2336" spans="1:10" ht="19.350000000000001" customHeight="1">
      <c r="A2336" s="102"/>
      <c r="B2336" s="102"/>
      <c r="C2336" s="116"/>
      <c r="F2336" s="107"/>
      <c r="G2336" s="10"/>
      <c r="H2336" s="103"/>
      <c r="I2336" s="108">
        <f>Tableau3[[#This Row],[Stock final]]*Tableau3[[#This Row],[P.U.]]</f>
        <v>0</v>
      </c>
      <c r="J2336" s="184"/>
    </row>
    <row r="2337" spans="1:10" ht="19.350000000000001" customHeight="1">
      <c r="A2337" s="102"/>
      <c r="B2337" s="102"/>
      <c r="C2337" s="116"/>
      <c r="F2337" s="107"/>
      <c r="G2337" s="10"/>
      <c r="H2337" s="103"/>
      <c r="I2337" s="108">
        <f>Tableau3[[#This Row],[Stock final]]*Tableau3[[#This Row],[P.U.]]</f>
        <v>0</v>
      </c>
      <c r="J2337" s="184"/>
    </row>
    <row r="2338" spans="1:10" ht="19.350000000000001" customHeight="1">
      <c r="A2338" s="102"/>
      <c r="B2338" s="102"/>
      <c r="C2338" s="116"/>
      <c r="F2338" s="107"/>
      <c r="G2338" s="10"/>
      <c r="H2338" s="103"/>
      <c r="I2338" s="108">
        <f>Tableau3[[#This Row],[Stock final]]*Tableau3[[#This Row],[P.U.]]</f>
        <v>0</v>
      </c>
      <c r="J2338" s="184"/>
    </row>
    <row r="2339" spans="1:10" ht="19.350000000000001" customHeight="1">
      <c r="A2339" s="102"/>
      <c r="B2339" s="102"/>
      <c r="C2339" s="116"/>
      <c r="F2339" s="107"/>
      <c r="G2339" s="10"/>
      <c r="H2339" s="103"/>
      <c r="I2339" s="108">
        <f>Tableau3[[#This Row],[Stock final]]*Tableau3[[#This Row],[P.U.]]</f>
        <v>0</v>
      </c>
      <c r="J2339" s="184"/>
    </row>
    <row r="2340" spans="1:10" ht="19.350000000000001" customHeight="1">
      <c r="A2340" s="102"/>
      <c r="B2340" s="102"/>
      <c r="C2340" s="116"/>
      <c r="F2340" s="107"/>
      <c r="G2340" s="10"/>
      <c r="H2340" s="103"/>
      <c r="I2340" s="108">
        <f>Tableau3[[#This Row],[Stock final]]*Tableau3[[#This Row],[P.U.]]</f>
        <v>0</v>
      </c>
      <c r="J2340" s="184"/>
    </row>
    <row r="2341" spans="1:10" ht="19.350000000000001" customHeight="1">
      <c r="A2341" s="102"/>
      <c r="B2341" s="102"/>
      <c r="C2341" s="116"/>
      <c r="F2341" s="107"/>
      <c r="G2341" s="10"/>
      <c r="H2341" s="103"/>
      <c r="I2341" s="108">
        <f>Tableau3[[#This Row],[Stock final]]*Tableau3[[#This Row],[P.U.]]</f>
        <v>0</v>
      </c>
      <c r="J2341" s="184"/>
    </row>
    <row r="2342" spans="1:10" ht="19.350000000000001" customHeight="1">
      <c r="A2342" s="102"/>
      <c r="B2342" s="102"/>
      <c r="C2342" s="116"/>
      <c r="F2342" s="107"/>
      <c r="G2342" s="10"/>
      <c r="H2342" s="103"/>
      <c r="I2342" s="108">
        <f>Tableau3[[#This Row],[Stock final]]*Tableau3[[#This Row],[P.U.]]</f>
        <v>0</v>
      </c>
      <c r="J2342" s="184"/>
    </row>
    <row r="2343" spans="1:10" ht="19.350000000000001" customHeight="1">
      <c r="A2343" s="102"/>
      <c r="B2343" s="102"/>
      <c r="C2343" s="116"/>
      <c r="F2343" s="107"/>
      <c r="G2343" s="10"/>
      <c r="H2343" s="103"/>
      <c r="I2343" s="108">
        <f>Tableau3[[#This Row],[Stock final]]*Tableau3[[#This Row],[P.U.]]</f>
        <v>0</v>
      </c>
      <c r="J2343" s="184"/>
    </row>
    <row r="2344" spans="1:10" ht="19.350000000000001" customHeight="1">
      <c r="A2344" s="102"/>
      <c r="B2344" s="102"/>
      <c r="C2344" s="116"/>
      <c r="F2344" s="107"/>
      <c r="G2344" s="10"/>
      <c r="H2344" s="103"/>
      <c r="I2344" s="108">
        <f>Tableau3[[#This Row],[Stock final]]*Tableau3[[#This Row],[P.U.]]</f>
        <v>0</v>
      </c>
      <c r="J2344" s="184"/>
    </row>
    <row r="2345" spans="1:10" ht="19.350000000000001" customHeight="1">
      <c r="A2345" s="102"/>
      <c r="B2345" s="102"/>
      <c r="C2345" s="116"/>
      <c r="F2345" s="107"/>
      <c r="G2345" s="10"/>
      <c r="H2345" s="103"/>
      <c r="I2345" s="108">
        <f>Tableau3[[#This Row],[Stock final]]*Tableau3[[#This Row],[P.U.]]</f>
        <v>0</v>
      </c>
      <c r="J2345" s="184"/>
    </row>
    <row r="2346" spans="1:10" ht="19.350000000000001" customHeight="1">
      <c r="A2346" s="102"/>
      <c r="B2346" s="102"/>
      <c r="C2346" s="116"/>
      <c r="F2346" s="107"/>
      <c r="G2346" s="10"/>
      <c r="H2346" s="103"/>
      <c r="I2346" s="108">
        <f>Tableau3[[#This Row],[Stock final]]*Tableau3[[#This Row],[P.U.]]</f>
        <v>0</v>
      </c>
      <c r="J2346" s="184"/>
    </row>
    <row r="2347" spans="1:10" ht="19.350000000000001" customHeight="1">
      <c r="A2347" s="102"/>
      <c r="B2347" s="102"/>
      <c r="C2347" s="116"/>
      <c r="F2347" s="107"/>
      <c r="G2347" s="10"/>
      <c r="H2347" s="103"/>
      <c r="I2347" s="108">
        <f>Tableau3[[#This Row],[Stock final]]*Tableau3[[#This Row],[P.U.]]</f>
        <v>0</v>
      </c>
      <c r="J2347" s="184"/>
    </row>
    <row r="2348" spans="1:10" ht="19.350000000000001" customHeight="1">
      <c r="A2348" s="102"/>
      <c r="B2348" s="102"/>
      <c r="C2348" s="116"/>
      <c r="F2348" s="107"/>
      <c r="G2348" s="10"/>
      <c r="H2348" s="103"/>
      <c r="I2348" s="108">
        <f>Tableau3[[#This Row],[Stock final]]*Tableau3[[#This Row],[P.U.]]</f>
        <v>0</v>
      </c>
      <c r="J2348" s="184"/>
    </row>
    <row r="2349" spans="1:10" ht="19.350000000000001" customHeight="1">
      <c r="A2349" s="102"/>
      <c r="B2349" s="102"/>
      <c r="C2349" s="116"/>
      <c r="D2349" s="114"/>
      <c r="F2349" s="107"/>
      <c r="G2349" s="10"/>
      <c r="H2349" s="103"/>
      <c r="I2349" s="108">
        <f>Tableau3[[#This Row],[Stock final]]*Tableau3[[#This Row],[P.U.]]</f>
        <v>0</v>
      </c>
      <c r="J2349" s="184"/>
    </row>
    <row r="2350" spans="1:10" ht="19.350000000000001" customHeight="1">
      <c r="A2350" s="102"/>
      <c r="B2350" s="105" t="s">
        <v>1167</v>
      </c>
      <c r="C2350" s="116" t="s">
        <v>1168</v>
      </c>
      <c r="D2350" s="114" t="s">
        <v>1169</v>
      </c>
      <c r="F2350" s="107"/>
      <c r="G2350" s="10">
        <v>6</v>
      </c>
      <c r="H2350" s="103">
        <v>68</v>
      </c>
      <c r="I2350" s="108">
        <f>Tableau3[[#This Row],[Stock final]]*Tableau3[[#This Row],[P.U.]]</f>
        <v>408</v>
      </c>
      <c r="J2350" s="184"/>
    </row>
    <row r="2351" spans="1:10" ht="19.350000000000001" customHeight="1">
      <c r="A2351" s="102"/>
      <c r="B2351" s="102" t="s">
        <v>1167</v>
      </c>
      <c r="C2351" s="116" t="s">
        <v>1170</v>
      </c>
      <c r="D2351" s="114" t="s">
        <v>1169</v>
      </c>
      <c r="F2351" s="107"/>
      <c r="G2351" s="10">
        <v>6</v>
      </c>
      <c r="H2351" s="103">
        <v>107</v>
      </c>
      <c r="I2351" s="108">
        <f>Tableau3[[#This Row],[Stock final]]*Tableau3[[#This Row],[P.U.]]</f>
        <v>642</v>
      </c>
      <c r="J2351" s="184"/>
    </row>
    <row r="2352" spans="1:10" ht="19.350000000000001" customHeight="1">
      <c r="A2352" s="102"/>
      <c r="B2352" s="102" t="s">
        <v>1167</v>
      </c>
      <c r="C2352" s="116" t="s">
        <v>1171</v>
      </c>
      <c r="D2352" s="114" t="s">
        <v>1172</v>
      </c>
      <c r="F2352" s="107"/>
      <c r="G2352" s="10">
        <v>4</v>
      </c>
      <c r="H2352" s="103">
        <v>102</v>
      </c>
      <c r="I2352" s="108">
        <f>Tableau3[[#This Row],[Stock final]]*Tableau3[[#This Row],[P.U.]]</f>
        <v>408</v>
      </c>
      <c r="J2352" s="184"/>
    </row>
    <row r="2353" spans="1:10" ht="19.350000000000001" customHeight="1">
      <c r="A2353" s="102"/>
      <c r="B2353" s="102" t="s">
        <v>1167</v>
      </c>
      <c r="C2353" s="116" t="s">
        <v>1173</v>
      </c>
      <c r="D2353" s="114" t="s">
        <v>1169</v>
      </c>
      <c r="F2353" s="107"/>
      <c r="G2353" s="10"/>
      <c r="H2353" s="103">
        <v>178</v>
      </c>
      <c r="I2353" s="108">
        <f>Tableau3[[#This Row],[Stock final]]*Tableau3[[#This Row],[P.U.]]</f>
        <v>0</v>
      </c>
      <c r="J2353" s="184"/>
    </row>
    <row r="2354" spans="1:10" ht="19.350000000000001" customHeight="1">
      <c r="A2354" s="102"/>
      <c r="B2354" s="102" t="s">
        <v>1174</v>
      </c>
      <c r="C2354" s="116" t="s">
        <v>1175</v>
      </c>
      <c r="D2354" s="114" t="s">
        <v>1176</v>
      </c>
      <c r="F2354" s="107"/>
      <c r="G2354" s="10">
        <v>2</v>
      </c>
      <c r="H2354" s="103">
        <v>323.27</v>
      </c>
      <c r="I2354" s="108">
        <f>Tableau3[[#This Row],[Stock final]]*Tableau3[[#This Row],[P.U.]]</f>
        <v>646.54</v>
      </c>
      <c r="J2354" s="184"/>
    </row>
    <row r="2355" spans="1:10" ht="19.350000000000001" customHeight="1">
      <c r="A2355" s="102"/>
      <c r="B2355" s="102" t="s">
        <v>1584</v>
      </c>
      <c r="C2355" s="116" t="s">
        <v>1583</v>
      </c>
      <c r="D2355" s="11" t="s">
        <v>1176</v>
      </c>
      <c r="F2355" s="107"/>
      <c r="G2355" s="10">
        <v>2</v>
      </c>
      <c r="H2355" s="103">
        <v>1322</v>
      </c>
      <c r="I2355" s="108">
        <f>Tableau3[[#This Row],[Stock final]]*Tableau3[[#This Row],[P.U.]]</f>
        <v>2644</v>
      </c>
      <c r="J2355" s="184"/>
    </row>
    <row r="2356" spans="1:10" ht="19.350000000000001" customHeight="1">
      <c r="A2356" s="102"/>
      <c r="B2356" s="102"/>
      <c r="C2356" s="116"/>
      <c r="F2356" s="107"/>
      <c r="G2356" s="10"/>
      <c r="H2356" s="103"/>
      <c r="I2356" s="108">
        <f>Tableau3[[#This Row],[Stock final]]*Tableau3[[#This Row],[P.U.]]</f>
        <v>0</v>
      </c>
      <c r="J2356" s="184"/>
    </row>
    <row r="2357" spans="1:10" ht="19.350000000000001" customHeight="1">
      <c r="A2357" s="102"/>
      <c r="B2357" s="102" t="s">
        <v>1167</v>
      </c>
      <c r="C2357" s="116" t="s">
        <v>1463</v>
      </c>
      <c r="D2357" s="11" t="s">
        <v>1579</v>
      </c>
      <c r="F2357" s="107"/>
      <c r="G2357" s="10">
        <v>3</v>
      </c>
      <c r="H2357" s="103">
        <v>236.01</v>
      </c>
      <c r="I2357" s="108">
        <f>Tableau3[[#This Row],[Stock final]]*Tableau3[[#This Row],[P.U.]]</f>
        <v>708.03</v>
      </c>
      <c r="J2357" s="184"/>
    </row>
    <row r="2358" spans="1:10" ht="19.350000000000001" customHeight="1">
      <c r="A2358" s="102"/>
      <c r="B2358" s="102" t="s">
        <v>1167</v>
      </c>
      <c r="C2358" s="116" t="s">
        <v>1464</v>
      </c>
      <c r="D2358" s="11" t="s">
        <v>1581</v>
      </c>
      <c r="F2358" s="107"/>
      <c r="G2358" s="10">
        <v>5</v>
      </c>
      <c r="H2358" s="103">
        <v>254.17</v>
      </c>
      <c r="I2358" s="108">
        <f>Tableau3[[#This Row],[Stock final]]*Tableau3[[#This Row],[P.U.]]</f>
        <v>1270.8499999999999</v>
      </c>
      <c r="J2358" s="184"/>
    </row>
    <row r="2359" spans="1:10" ht="19.350000000000001" customHeight="1">
      <c r="A2359" s="102"/>
      <c r="B2359" s="102" t="s">
        <v>1167</v>
      </c>
      <c r="C2359" s="116" t="s">
        <v>1465</v>
      </c>
      <c r="D2359" s="11" t="s">
        <v>1580</v>
      </c>
      <c r="F2359" s="107"/>
      <c r="G2359" s="10">
        <v>5</v>
      </c>
      <c r="H2359" s="103">
        <v>306.58999999999997</v>
      </c>
      <c r="I2359" s="108">
        <f>Tableau3[[#This Row],[Stock final]]*Tableau3[[#This Row],[P.U.]]</f>
        <v>1532.9499999999998</v>
      </c>
      <c r="J2359" s="184"/>
    </row>
    <row r="2360" spans="1:10" ht="19.350000000000001" customHeight="1">
      <c r="A2360" s="102"/>
      <c r="B2360" s="102" t="s">
        <v>1167</v>
      </c>
      <c r="C2360" s="116" t="s">
        <v>1466</v>
      </c>
      <c r="D2360" s="11" t="s">
        <v>1582</v>
      </c>
      <c r="F2360" s="107"/>
      <c r="G2360" s="10">
        <v>1</v>
      </c>
      <c r="H2360" s="103">
        <v>301.41000000000003</v>
      </c>
      <c r="I2360" s="108">
        <f>Tableau3[[#This Row],[Stock final]]*Tableau3[[#This Row],[P.U.]]</f>
        <v>301.41000000000003</v>
      </c>
      <c r="J2360" s="184"/>
    </row>
    <row r="2361" spans="1:10" ht="19.350000000000001" customHeight="1">
      <c r="A2361" s="102"/>
      <c r="B2361" s="102"/>
      <c r="C2361" s="116"/>
      <c r="F2361" s="107"/>
      <c r="G2361" s="10"/>
      <c r="H2361" s="103"/>
      <c r="I2361" s="108">
        <f>Tableau3[[#This Row],[Stock final]]*Tableau3[[#This Row],[P.U.]]</f>
        <v>0</v>
      </c>
      <c r="J2361" s="184"/>
    </row>
    <row r="2362" spans="1:10" ht="19.350000000000001" customHeight="1">
      <c r="A2362" s="102"/>
      <c r="B2362" s="102" t="s">
        <v>1167</v>
      </c>
      <c r="C2362" s="116" t="s">
        <v>1462</v>
      </c>
      <c r="D2362" s="11" t="s">
        <v>1176</v>
      </c>
      <c r="F2362" s="107"/>
      <c r="G2362" s="10">
        <v>2</v>
      </c>
      <c r="H2362" s="103">
        <v>924.08</v>
      </c>
      <c r="I2362" s="108">
        <f>Tableau3[[#This Row],[Stock final]]*Tableau3[[#This Row],[P.U.]]</f>
        <v>1848.16</v>
      </c>
      <c r="J2362" s="184"/>
    </row>
    <row r="2363" spans="1:10" ht="19.350000000000001" customHeight="1">
      <c r="A2363" s="102"/>
      <c r="B2363" s="102"/>
      <c r="C2363" s="116"/>
      <c r="F2363" s="107"/>
      <c r="G2363" s="10"/>
      <c r="H2363" s="103"/>
      <c r="I2363" s="108">
        <f>Tableau3[[#This Row],[Stock final]]*Tableau3[[#This Row],[P.U.]]</f>
        <v>0</v>
      </c>
      <c r="J2363" s="184"/>
    </row>
    <row r="2364" spans="1:10" ht="19.350000000000001" customHeight="1">
      <c r="A2364" s="102"/>
      <c r="B2364" s="102"/>
      <c r="C2364" s="116"/>
      <c r="F2364" s="107"/>
      <c r="G2364" s="10"/>
      <c r="H2364" s="103"/>
      <c r="I2364" s="108">
        <f>Tableau3[[#This Row],[Stock final]]*Tableau3[[#This Row],[P.U.]]</f>
        <v>0</v>
      </c>
      <c r="J2364" s="184"/>
    </row>
    <row r="2365" spans="1:10" ht="19.350000000000001" customHeight="1">
      <c r="A2365" s="102"/>
      <c r="B2365" s="102"/>
      <c r="C2365" s="116"/>
      <c r="F2365" s="107"/>
      <c r="G2365" s="10"/>
      <c r="H2365" s="103"/>
      <c r="I2365" s="108">
        <f>Tableau3[[#This Row],[Stock final]]*Tableau3[[#This Row],[P.U.]]</f>
        <v>0</v>
      </c>
      <c r="J2365" s="184"/>
    </row>
    <row r="2366" spans="1:10" ht="19.350000000000001" customHeight="1">
      <c r="A2366" s="102"/>
      <c r="B2366" s="102"/>
      <c r="C2366" s="116"/>
      <c r="F2366" s="107"/>
      <c r="G2366" s="10"/>
      <c r="H2366" s="103"/>
      <c r="I2366" s="108">
        <f>Tableau3[[#This Row],[Stock final]]*Tableau3[[#This Row],[P.U.]]</f>
        <v>0</v>
      </c>
      <c r="J2366" s="184"/>
    </row>
    <row r="2367" spans="1:10" ht="19.350000000000001" customHeight="1">
      <c r="A2367" s="102"/>
      <c r="B2367" s="102"/>
      <c r="C2367" s="116"/>
      <c r="F2367" s="107"/>
      <c r="G2367" s="10"/>
      <c r="H2367" s="103"/>
      <c r="I2367" s="108">
        <f>Tableau3[[#This Row],[Stock final]]*Tableau3[[#This Row],[P.U.]]</f>
        <v>0</v>
      </c>
      <c r="J2367" s="184"/>
    </row>
    <row r="2368" spans="1:10" ht="19.350000000000001" customHeight="1">
      <c r="A2368" s="102"/>
      <c r="B2368" s="102"/>
      <c r="C2368" s="116"/>
      <c r="F2368" s="107"/>
      <c r="G2368" s="10"/>
      <c r="H2368" s="103"/>
      <c r="I2368" s="108">
        <f>Tableau3[[#This Row],[Stock final]]*Tableau3[[#This Row],[P.U.]]</f>
        <v>0</v>
      </c>
      <c r="J2368" s="184"/>
    </row>
    <row r="2369" spans="1:10" ht="19.350000000000001" customHeight="1">
      <c r="A2369" s="102"/>
      <c r="B2369" s="102"/>
      <c r="C2369" s="116"/>
      <c r="F2369" s="107"/>
      <c r="G2369" s="10"/>
      <c r="H2369" s="103"/>
      <c r="I2369" s="108">
        <f>Tableau3[[#This Row],[Stock final]]*Tableau3[[#This Row],[P.U.]]</f>
        <v>0</v>
      </c>
      <c r="J2369" s="184"/>
    </row>
    <row r="2370" spans="1:10" ht="19.350000000000001" customHeight="1">
      <c r="A2370" s="102"/>
      <c r="B2370" s="102"/>
      <c r="C2370" s="116"/>
      <c r="F2370" s="107"/>
      <c r="G2370" s="10"/>
      <c r="H2370" s="103"/>
      <c r="I2370" s="108">
        <f>Tableau3[[#This Row],[Stock final]]*Tableau3[[#This Row],[P.U.]]</f>
        <v>0</v>
      </c>
      <c r="J2370" s="184"/>
    </row>
    <row r="2371" spans="1:10" ht="19.350000000000001" customHeight="1">
      <c r="A2371" s="102"/>
      <c r="B2371" s="102"/>
      <c r="C2371" s="116"/>
      <c r="F2371" s="107"/>
      <c r="G2371" s="10"/>
      <c r="H2371" s="103"/>
      <c r="I2371" s="108">
        <f>Tableau3[[#This Row],[Stock final]]*Tableau3[[#This Row],[P.U.]]</f>
        <v>0</v>
      </c>
      <c r="J2371" s="184"/>
    </row>
    <row r="2372" spans="1:10" ht="19.350000000000001" customHeight="1">
      <c r="A2372" s="102"/>
      <c r="B2372" s="102"/>
      <c r="C2372" s="116"/>
      <c r="F2372" s="107"/>
      <c r="G2372" s="10"/>
      <c r="H2372" s="103"/>
      <c r="I2372" s="108">
        <f>Tableau3[[#This Row],[Stock final]]*Tableau3[[#This Row],[P.U.]]</f>
        <v>0</v>
      </c>
      <c r="J2372" s="184"/>
    </row>
    <row r="2373" spans="1:10" ht="19.350000000000001" customHeight="1">
      <c r="A2373" s="102"/>
      <c r="B2373" s="102"/>
      <c r="C2373" s="116"/>
      <c r="F2373" s="107"/>
      <c r="G2373" s="10"/>
      <c r="H2373" s="103"/>
      <c r="I2373" s="108">
        <f>Tableau3[[#This Row],[Stock final]]*Tableau3[[#This Row],[P.U.]]</f>
        <v>0</v>
      </c>
      <c r="J2373" s="184"/>
    </row>
    <row r="2374" spans="1:10" ht="19.350000000000001" customHeight="1">
      <c r="A2374" s="102"/>
      <c r="B2374" s="102"/>
      <c r="C2374" s="116"/>
      <c r="F2374" s="107"/>
      <c r="G2374" s="10"/>
      <c r="H2374" s="103"/>
      <c r="I2374" s="108">
        <f>Tableau3[[#This Row],[Stock final]]*Tableau3[[#This Row],[P.U.]]</f>
        <v>0</v>
      </c>
      <c r="J2374" s="184"/>
    </row>
    <row r="2375" spans="1:10" ht="19.350000000000001" customHeight="1">
      <c r="A2375" s="102"/>
      <c r="B2375" s="102"/>
      <c r="C2375" s="116"/>
      <c r="F2375" s="107"/>
      <c r="G2375" s="10"/>
      <c r="H2375" s="103"/>
      <c r="I2375" s="108">
        <f>Tableau3[[#This Row],[Stock final]]*Tableau3[[#This Row],[P.U.]]</f>
        <v>0</v>
      </c>
      <c r="J2375" s="184"/>
    </row>
    <row r="2376" spans="1:10" ht="19.350000000000001" customHeight="1">
      <c r="A2376" s="102"/>
      <c r="B2376" s="102"/>
      <c r="C2376" s="116"/>
      <c r="F2376" s="107"/>
      <c r="G2376" s="10"/>
      <c r="H2376" s="103"/>
      <c r="I2376" s="108">
        <f>Tableau3[[#This Row],[Stock final]]*Tableau3[[#This Row],[P.U.]]</f>
        <v>0</v>
      </c>
      <c r="J2376" s="184"/>
    </row>
    <row r="2377" spans="1:10" ht="19.350000000000001" customHeight="1">
      <c r="A2377" s="102"/>
      <c r="B2377" s="102"/>
      <c r="C2377" s="116"/>
      <c r="F2377" s="107"/>
      <c r="G2377" s="10"/>
      <c r="H2377" s="103"/>
      <c r="I2377" s="108">
        <f>Tableau3[[#This Row],[Stock final]]*Tableau3[[#This Row],[P.U.]]</f>
        <v>0</v>
      </c>
      <c r="J2377" s="184"/>
    </row>
    <row r="2378" spans="1:10" ht="19.350000000000001" customHeight="1">
      <c r="A2378" s="102"/>
      <c r="B2378" s="102"/>
      <c r="C2378" s="116"/>
      <c r="F2378" s="107"/>
      <c r="G2378" s="10"/>
      <c r="H2378" s="103"/>
      <c r="I2378" s="108">
        <f>Tableau3[[#This Row],[Stock final]]*Tableau3[[#This Row],[P.U.]]</f>
        <v>0</v>
      </c>
      <c r="J2378" s="184"/>
    </row>
    <row r="2379" spans="1:10" ht="19.350000000000001" customHeight="1">
      <c r="A2379" s="102"/>
      <c r="B2379" s="102"/>
      <c r="C2379" s="116"/>
      <c r="F2379" s="107"/>
      <c r="G2379" s="10"/>
      <c r="H2379" s="103"/>
      <c r="I2379" s="108">
        <f>Tableau3[[#This Row],[Stock final]]*Tableau3[[#This Row],[P.U.]]</f>
        <v>0</v>
      </c>
      <c r="J2379" s="184"/>
    </row>
    <row r="2380" spans="1:10" ht="19.350000000000001" customHeight="1">
      <c r="A2380" s="102"/>
      <c r="B2380" s="102"/>
      <c r="C2380" s="116"/>
      <c r="F2380" s="107"/>
      <c r="G2380" s="10"/>
      <c r="H2380" s="103"/>
      <c r="I2380" s="108">
        <f>Tableau3[[#This Row],[Stock final]]*Tableau3[[#This Row],[P.U.]]</f>
        <v>0</v>
      </c>
      <c r="J2380" s="184"/>
    </row>
    <row r="2381" spans="1:10" ht="19.350000000000001" customHeight="1">
      <c r="A2381" s="102"/>
      <c r="B2381" s="102"/>
      <c r="C2381" s="116"/>
      <c r="F2381" s="107"/>
      <c r="G2381" s="10"/>
      <c r="H2381" s="103"/>
      <c r="I2381" s="108">
        <f>Tableau3[[#This Row],[Stock final]]*Tableau3[[#This Row],[P.U.]]</f>
        <v>0</v>
      </c>
      <c r="J2381" s="184"/>
    </row>
    <row r="2382" spans="1:10" ht="19.350000000000001" customHeight="1">
      <c r="A2382" s="102"/>
      <c r="B2382" s="102"/>
      <c r="C2382" s="116"/>
      <c r="F2382" s="107"/>
      <c r="G2382" s="10"/>
      <c r="H2382" s="103"/>
      <c r="I2382" s="108">
        <f>Tableau3[[#This Row],[Stock final]]*Tableau3[[#This Row],[P.U.]]</f>
        <v>0</v>
      </c>
      <c r="J2382" s="184"/>
    </row>
    <row r="2383" spans="1:10" ht="19.350000000000001" customHeight="1">
      <c r="A2383" s="102"/>
      <c r="B2383" s="102"/>
      <c r="C2383" s="116"/>
      <c r="F2383" s="107"/>
      <c r="G2383" s="10"/>
      <c r="H2383" s="103"/>
      <c r="I2383" s="108">
        <f>Tableau3[[#This Row],[Stock final]]*Tableau3[[#This Row],[P.U.]]</f>
        <v>0</v>
      </c>
      <c r="J2383" s="184"/>
    </row>
    <row r="2384" spans="1:10" ht="19.350000000000001" customHeight="1">
      <c r="A2384" s="102"/>
      <c r="B2384" s="102"/>
      <c r="C2384" s="116"/>
      <c r="F2384" s="107"/>
      <c r="G2384" s="10"/>
      <c r="H2384" s="103"/>
      <c r="I2384" s="108">
        <f>Tableau3[[#This Row],[Stock final]]*Tableau3[[#This Row],[P.U.]]</f>
        <v>0</v>
      </c>
      <c r="J2384" s="184"/>
    </row>
    <row r="2385" spans="1:10" ht="19.350000000000001" customHeight="1">
      <c r="A2385" s="102"/>
      <c r="B2385" s="102"/>
      <c r="C2385" s="116"/>
      <c r="F2385" s="107"/>
      <c r="G2385" s="10"/>
      <c r="H2385" s="103"/>
      <c r="I2385" s="108">
        <f>Tableau3[[#This Row],[Stock final]]*Tableau3[[#This Row],[P.U.]]</f>
        <v>0</v>
      </c>
      <c r="J2385" s="184"/>
    </row>
    <row r="2386" spans="1:10" ht="19.350000000000001" customHeight="1">
      <c r="A2386" s="102"/>
      <c r="B2386" s="102"/>
      <c r="C2386" s="116"/>
      <c r="F2386" s="107"/>
      <c r="G2386" s="10"/>
      <c r="H2386" s="103"/>
      <c r="I2386" s="108">
        <f>Tableau3[[#This Row],[Stock final]]*Tableau3[[#This Row],[P.U.]]</f>
        <v>0</v>
      </c>
      <c r="J2386" s="184"/>
    </row>
    <row r="2387" spans="1:10" ht="19.350000000000001" customHeight="1">
      <c r="A2387" s="102"/>
      <c r="B2387" s="102"/>
      <c r="C2387" s="116"/>
      <c r="F2387" s="107"/>
      <c r="G2387" s="10"/>
      <c r="H2387" s="103"/>
      <c r="I2387" s="108">
        <f>Tableau3[[#This Row],[Stock final]]*Tableau3[[#This Row],[P.U.]]</f>
        <v>0</v>
      </c>
      <c r="J2387" s="184"/>
    </row>
    <row r="2388" spans="1:10" ht="19.350000000000001" customHeight="1">
      <c r="A2388" s="102"/>
      <c r="B2388" s="102"/>
      <c r="C2388" s="116"/>
      <c r="F2388" s="107"/>
      <c r="G2388" s="10"/>
      <c r="H2388" s="103"/>
      <c r="I2388" s="108">
        <f>Tableau3[[#This Row],[Stock final]]*Tableau3[[#This Row],[P.U.]]</f>
        <v>0</v>
      </c>
      <c r="J2388" s="184"/>
    </row>
    <row r="2389" spans="1:10" ht="19.350000000000001" customHeight="1">
      <c r="A2389" s="102"/>
      <c r="B2389" s="102"/>
      <c r="C2389" s="116"/>
      <c r="F2389" s="107"/>
      <c r="G2389" s="10"/>
      <c r="H2389" s="103"/>
      <c r="I2389" s="108">
        <f>Tableau3[[#This Row],[Stock final]]*Tableau3[[#This Row],[P.U.]]</f>
        <v>0</v>
      </c>
      <c r="J2389" s="184"/>
    </row>
    <row r="2390" spans="1:10" ht="19.350000000000001" customHeight="1">
      <c r="A2390" s="102"/>
      <c r="B2390" s="102"/>
      <c r="C2390" s="116"/>
      <c r="F2390" s="107"/>
      <c r="G2390" s="10"/>
      <c r="H2390" s="103"/>
      <c r="I2390" s="108">
        <f>Tableau3[[#This Row],[Stock final]]*Tableau3[[#This Row],[P.U.]]</f>
        <v>0</v>
      </c>
      <c r="J2390" s="184"/>
    </row>
    <row r="2391" spans="1:10" ht="19.350000000000001" customHeight="1">
      <c r="A2391" s="102"/>
      <c r="B2391" s="102"/>
      <c r="C2391" s="116"/>
      <c r="F2391" s="107"/>
      <c r="G2391" s="10"/>
      <c r="H2391" s="103"/>
      <c r="I2391" s="108">
        <f>Tableau3[[#This Row],[Stock final]]*Tableau3[[#This Row],[P.U.]]</f>
        <v>0</v>
      </c>
      <c r="J2391" s="184"/>
    </row>
    <row r="2392" spans="1:10" ht="19.350000000000001" customHeight="1">
      <c r="A2392" s="102"/>
      <c r="B2392" s="102"/>
      <c r="C2392" s="116"/>
      <c r="F2392" s="107"/>
      <c r="G2392" s="10"/>
      <c r="H2392" s="103"/>
      <c r="I2392" s="108">
        <f>Tableau3[[#This Row],[Stock final]]*Tableau3[[#This Row],[P.U.]]</f>
        <v>0</v>
      </c>
      <c r="J2392" s="184"/>
    </row>
    <row r="2393" spans="1:10" ht="19.350000000000001" customHeight="1">
      <c r="A2393" s="102"/>
      <c r="B2393" s="102"/>
      <c r="C2393" s="116"/>
      <c r="F2393" s="107"/>
      <c r="G2393" s="10"/>
      <c r="H2393" s="103"/>
      <c r="I2393" s="108">
        <f>Tableau3[[#This Row],[Stock final]]*Tableau3[[#This Row],[P.U.]]</f>
        <v>0</v>
      </c>
      <c r="J2393" s="184"/>
    </row>
    <row r="2394" spans="1:10" ht="19.350000000000001" customHeight="1">
      <c r="A2394" s="102"/>
      <c r="B2394" s="102"/>
      <c r="C2394" s="116"/>
      <c r="F2394" s="107"/>
      <c r="G2394" s="10"/>
      <c r="H2394" s="103"/>
      <c r="I2394" s="108">
        <f>Tableau3[[#This Row],[Stock final]]*Tableau3[[#This Row],[P.U.]]</f>
        <v>0</v>
      </c>
      <c r="J2394" s="184"/>
    </row>
    <row r="2395" spans="1:10" ht="19.350000000000001" customHeight="1">
      <c r="A2395" s="102"/>
      <c r="B2395" s="102"/>
      <c r="C2395" s="116"/>
      <c r="F2395" s="107"/>
      <c r="G2395" s="10"/>
      <c r="H2395" s="103"/>
      <c r="I2395" s="108">
        <f>Tableau3[[#This Row],[Stock final]]*Tableau3[[#This Row],[P.U.]]</f>
        <v>0</v>
      </c>
      <c r="J2395" s="184"/>
    </row>
    <row r="2396" spans="1:10" ht="19.350000000000001" customHeight="1">
      <c r="A2396" s="102"/>
      <c r="B2396" s="102"/>
      <c r="C2396" s="116"/>
      <c r="F2396" s="107"/>
      <c r="G2396" s="10"/>
      <c r="H2396" s="103"/>
      <c r="I2396" s="108">
        <f>Tableau3[[#This Row],[Stock final]]*Tableau3[[#This Row],[P.U.]]</f>
        <v>0</v>
      </c>
      <c r="J2396" s="184"/>
    </row>
    <row r="2397" spans="1:10" ht="19.350000000000001" customHeight="1">
      <c r="A2397" s="102"/>
      <c r="B2397" s="102"/>
      <c r="C2397" s="116"/>
      <c r="F2397" s="107"/>
      <c r="G2397" s="10"/>
      <c r="H2397" s="103"/>
      <c r="I2397" s="108">
        <f>Tableau3[[#This Row],[Stock final]]*Tableau3[[#This Row],[P.U.]]</f>
        <v>0</v>
      </c>
      <c r="J2397" s="184"/>
    </row>
    <row r="2398" spans="1:10" ht="19.350000000000001" customHeight="1">
      <c r="A2398" s="102"/>
      <c r="B2398" s="102"/>
      <c r="C2398" s="116"/>
      <c r="F2398" s="107"/>
      <c r="G2398" s="10"/>
      <c r="H2398" s="103"/>
      <c r="I2398" s="108">
        <f>Tableau3[[#This Row],[Stock final]]*Tableau3[[#This Row],[P.U.]]</f>
        <v>0</v>
      </c>
      <c r="J2398" s="184"/>
    </row>
    <row r="2399" spans="1:10" ht="19.350000000000001" customHeight="1">
      <c r="A2399" s="102"/>
      <c r="B2399" s="102"/>
      <c r="C2399" s="116"/>
      <c r="F2399" s="107"/>
      <c r="G2399" s="10"/>
      <c r="H2399" s="103"/>
      <c r="I2399" s="108">
        <f>Tableau3[[#This Row],[Stock final]]*Tableau3[[#This Row],[P.U.]]</f>
        <v>0</v>
      </c>
      <c r="J2399" s="184"/>
    </row>
    <row r="2400" spans="1:10" ht="19.350000000000001" customHeight="1">
      <c r="A2400" s="102"/>
      <c r="B2400" s="102"/>
      <c r="C2400" s="116"/>
      <c r="F2400" s="107"/>
      <c r="G2400" s="10"/>
      <c r="H2400" s="103"/>
      <c r="I2400" s="108">
        <f>Tableau3[[#This Row],[Stock final]]*Tableau3[[#This Row],[P.U.]]</f>
        <v>0</v>
      </c>
      <c r="J2400" s="184"/>
    </row>
    <row r="2401" spans="1:10" ht="19.350000000000001" customHeight="1">
      <c r="A2401" s="102"/>
      <c r="B2401" s="102"/>
      <c r="C2401" s="116"/>
      <c r="F2401" s="107"/>
      <c r="G2401" s="10"/>
      <c r="H2401" s="103"/>
      <c r="I2401" s="108">
        <f>Tableau3[[#This Row],[Stock final]]*Tableau3[[#This Row],[P.U.]]</f>
        <v>0</v>
      </c>
      <c r="J2401" s="184"/>
    </row>
    <row r="2402" spans="1:10" ht="19.350000000000001" customHeight="1">
      <c r="A2402" s="102"/>
      <c r="B2402" s="102"/>
      <c r="C2402" s="116"/>
      <c r="F2402" s="107"/>
      <c r="G2402" s="10"/>
      <c r="H2402" s="103"/>
      <c r="I2402" s="108">
        <f>Tableau3[[#This Row],[Stock final]]*Tableau3[[#This Row],[P.U.]]</f>
        <v>0</v>
      </c>
      <c r="J2402" s="184"/>
    </row>
    <row r="2403" spans="1:10" ht="19.350000000000001" customHeight="1">
      <c r="A2403" s="102"/>
      <c r="B2403" s="102"/>
      <c r="C2403" s="116"/>
      <c r="F2403" s="107"/>
      <c r="G2403" s="10"/>
      <c r="H2403" s="103"/>
      <c r="I2403" s="108">
        <f>Tableau3[[#This Row],[Stock final]]*Tableau3[[#This Row],[P.U.]]</f>
        <v>0</v>
      </c>
      <c r="J2403" s="184"/>
    </row>
    <row r="2404" spans="1:10" ht="19.350000000000001" customHeight="1">
      <c r="A2404" s="102"/>
      <c r="B2404" s="102"/>
      <c r="C2404" s="116"/>
      <c r="F2404" s="107"/>
      <c r="G2404" s="10"/>
      <c r="H2404" s="103"/>
      <c r="I2404" s="108">
        <f>Tableau3[[#This Row],[Stock final]]*Tableau3[[#This Row],[P.U.]]</f>
        <v>0</v>
      </c>
      <c r="J2404" s="184"/>
    </row>
    <row r="2405" spans="1:10" ht="19.350000000000001" customHeight="1">
      <c r="A2405" s="102"/>
      <c r="B2405" s="102"/>
      <c r="C2405" s="116"/>
      <c r="F2405" s="107"/>
      <c r="G2405" s="10"/>
      <c r="H2405" s="103"/>
      <c r="I2405" s="108">
        <f>Tableau3[[#This Row],[Stock final]]*Tableau3[[#This Row],[P.U.]]</f>
        <v>0</v>
      </c>
      <c r="J2405" s="184"/>
    </row>
    <row r="2406" spans="1:10" ht="19.350000000000001" customHeight="1">
      <c r="A2406" s="102"/>
      <c r="B2406" s="102"/>
      <c r="C2406" s="116"/>
      <c r="F2406" s="107"/>
      <c r="G2406" s="10"/>
      <c r="H2406" s="103"/>
      <c r="I2406" s="108">
        <f>Tableau3[[#This Row],[Stock final]]*Tableau3[[#This Row],[P.U.]]</f>
        <v>0</v>
      </c>
      <c r="J2406" s="184"/>
    </row>
    <row r="2407" spans="1:10" ht="19.350000000000001" customHeight="1">
      <c r="A2407" s="102"/>
      <c r="B2407" s="102"/>
      <c r="C2407" s="116"/>
      <c r="F2407" s="107"/>
      <c r="G2407" s="10"/>
      <c r="H2407" s="103"/>
      <c r="I2407" s="108">
        <f>Tableau3[[#This Row],[Stock final]]*Tableau3[[#This Row],[P.U.]]</f>
        <v>0</v>
      </c>
      <c r="J2407" s="184"/>
    </row>
    <row r="2408" spans="1:10" ht="19.350000000000001" customHeight="1">
      <c r="A2408" s="102"/>
      <c r="B2408" s="102"/>
      <c r="C2408" s="116"/>
      <c r="F2408" s="107"/>
      <c r="G2408" s="10"/>
      <c r="H2408" s="103"/>
      <c r="I2408" s="108">
        <f>Tableau3[[#This Row],[Stock final]]*Tableau3[[#This Row],[P.U.]]</f>
        <v>0</v>
      </c>
      <c r="J2408" s="184"/>
    </row>
    <row r="2409" spans="1:10" ht="19.350000000000001" customHeight="1">
      <c r="A2409" s="102"/>
      <c r="B2409" s="102"/>
      <c r="C2409" s="116"/>
      <c r="F2409" s="107"/>
      <c r="G2409" s="10"/>
      <c r="H2409" s="103"/>
      <c r="I2409" s="108">
        <f>Tableau3[[#This Row],[Stock final]]*Tableau3[[#This Row],[P.U.]]</f>
        <v>0</v>
      </c>
      <c r="J2409" s="184"/>
    </row>
    <row r="2410" spans="1:10" ht="19.350000000000001" customHeight="1">
      <c r="A2410" s="102"/>
      <c r="B2410" s="102"/>
      <c r="C2410" s="116"/>
      <c r="F2410" s="107"/>
      <c r="G2410" s="10"/>
      <c r="H2410" s="103"/>
      <c r="I2410" s="108">
        <f>Tableau3[[#This Row],[Stock final]]*Tableau3[[#This Row],[P.U.]]</f>
        <v>0</v>
      </c>
      <c r="J2410" s="184"/>
    </row>
    <row r="2411" spans="1:10" ht="19.350000000000001" customHeight="1">
      <c r="A2411" s="102"/>
      <c r="B2411" s="102"/>
      <c r="C2411" s="116"/>
      <c r="F2411" s="107"/>
      <c r="G2411" s="10"/>
      <c r="H2411" s="103"/>
      <c r="I2411" s="108">
        <f>Tableau3[[#This Row],[Stock final]]*Tableau3[[#This Row],[P.U.]]</f>
        <v>0</v>
      </c>
      <c r="J2411" s="184"/>
    </row>
    <row r="2412" spans="1:10" ht="19.350000000000001" customHeight="1">
      <c r="A2412" s="102"/>
      <c r="B2412" s="102"/>
      <c r="C2412" s="116"/>
      <c r="F2412" s="107"/>
      <c r="G2412" s="10"/>
      <c r="H2412" s="103"/>
      <c r="I2412" s="108">
        <f>Tableau3[[#This Row],[Stock final]]*Tableau3[[#This Row],[P.U.]]</f>
        <v>0</v>
      </c>
      <c r="J2412" s="184"/>
    </row>
    <row r="2413" spans="1:10" ht="19.350000000000001" customHeight="1">
      <c r="A2413" s="102"/>
      <c r="B2413" s="102"/>
      <c r="C2413" s="116"/>
      <c r="F2413" s="107"/>
      <c r="G2413" s="10"/>
      <c r="H2413" s="103"/>
      <c r="I2413" s="108">
        <f>Tableau3[[#This Row],[Stock final]]*Tableau3[[#This Row],[P.U.]]</f>
        <v>0</v>
      </c>
      <c r="J2413" s="184"/>
    </row>
    <row r="2414" spans="1:10" ht="19.350000000000001" customHeight="1">
      <c r="A2414" s="102"/>
      <c r="B2414" s="102"/>
      <c r="C2414" s="116"/>
      <c r="F2414" s="107"/>
      <c r="G2414" s="10"/>
      <c r="H2414" s="103"/>
      <c r="I2414" s="108">
        <f>Tableau3[[#This Row],[Stock final]]*Tableau3[[#This Row],[P.U.]]</f>
        <v>0</v>
      </c>
      <c r="J2414" s="184"/>
    </row>
    <row r="2415" spans="1:10" ht="19.350000000000001" customHeight="1">
      <c r="A2415" s="102"/>
      <c r="B2415" s="102"/>
      <c r="C2415" s="116"/>
      <c r="F2415" s="107"/>
      <c r="G2415" s="10"/>
      <c r="H2415" s="103"/>
      <c r="I2415" s="108">
        <f>Tableau3[[#This Row],[Stock final]]*Tableau3[[#This Row],[P.U.]]</f>
        <v>0</v>
      </c>
      <c r="J2415" s="184"/>
    </row>
    <row r="2416" spans="1:10" ht="19.350000000000001" customHeight="1">
      <c r="A2416" s="102"/>
      <c r="B2416" s="105" t="s">
        <v>1071</v>
      </c>
      <c r="C2416" s="116" t="s">
        <v>1072</v>
      </c>
      <c r="D2416" s="114" t="s">
        <v>1073</v>
      </c>
      <c r="E2416" s="113" t="s">
        <v>1074</v>
      </c>
      <c r="F2416" s="107"/>
      <c r="G2416" s="10"/>
      <c r="H2416" s="103">
        <v>241.5</v>
      </c>
      <c r="I2416" s="108">
        <f>Tableau3[[#This Row],[Stock final]]*Tableau3[[#This Row],[P.U.]]</f>
        <v>0</v>
      </c>
      <c r="J2416" s="184"/>
    </row>
    <row r="2417" spans="1:10" ht="19.350000000000001" customHeight="1">
      <c r="A2417" s="102"/>
      <c r="B2417" s="104" t="s">
        <v>1071</v>
      </c>
      <c r="C2417" s="116" t="s">
        <v>1075</v>
      </c>
      <c r="D2417" s="114" t="s">
        <v>1076</v>
      </c>
      <c r="E2417" s="113" t="s">
        <v>532</v>
      </c>
      <c r="F2417" s="107"/>
      <c r="G2417" s="10"/>
      <c r="H2417" s="103">
        <v>33.6</v>
      </c>
      <c r="I2417" s="108">
        <f>Tableau3[[#This Row],[Stock final]]*Tableau3[[#This Row],[P.U.]]</f>
        <v>0</v>
      </c>
      <c r="J2417" s="184"/>
    </row>
    <row r="2418" spans="1:10" ht="19.350000000000001" customHeight="1">
      <c r="A2418" s="102"/>
      <c r="B2418" s="105" t="s">
        <v>1071</v>
      </c>
      <c r="C2418" s="116" t="s">
        <v>1077</v>
      </c>
      <c r="D2418" s="114" t="s">
        <v>1078</v>
      </c>
      <c r="E2418" s="113" t="s">
        <v>1074</v>
      </c>
      <c r="F2418" s="107"/>
      <c r="G2418" s="10">
        <v>5</v>
      </c>
      <c r="H2418" s="103">
        <v>26.6</v>
      </c>
      <c r="I2418" s="108">
        <f>Tableau3[[#This Row],[Stock final]]*Tableau3[[#This Row],[P.U.]]</f>
        <v>133</v>
      </c>
      <c r="J2418" s="184"/>
    </row>
    <row r="2419" spans="1:10" ht="19.350000000000001" customHeight="1">
      <c r="A2419" s="102"/>
      <c r="B2419" s="109" t="s">
        <v>1071</v>
      </c>
      <c r="C2419" s="116" t="s">
        <v>1079</v>
      </c>
      <c r="D2419" s="114" t="s">
        <v>1073</v>
      </c>
      <c r="E2419" s="113" t="s">
        <v>532</v>
      </c>
      <c r="F2419" s="107"/>
      <c r="G2419" s="10"/>
      <c r="H2419" s="103"/>
      <c r="I2419" s="108">
        <f>Tableau3[[#This Row],[Stock final]]*Tableau3[[#This Row],[P.U.]]</f>
        <v>0</v>
      </c>
      <c r="J2419" s="184"/>
    </row>
    <row r="2420" spans="1:10" ht="19.350000000000001" customHeight="1">
      <c r="A2420" s="102"/>
      <c r="B2420" s="102" t="s">
        <v>1071</v>
      </c>
      <c r="C2420" s="116" t="s">
        <v>1080</v>
      </c>
      <c r="D2420" s="114" t="s">
        <v>1073</v>
      </c>
      <c r="E2420" s="113" t="s">
        <v>315</v>
      </c>
      <c r="F2420" s="107"/>
      <c r="G2420" s="10"/>
      <c r="H2420" s="103"/>
      <c r="I2420" s="108">
        <f>Tableau3[[#This Row],[Stock final]]*Tableau3[[#This Row],[P.U.]]</f>
        <v>0</v>
      </c>
      <c r="J2420" s="184"/>
    </row>
    <row r="2421" spans="1:10" ht="19.350000000000001" customHeight="1">
      <c r="A2421" s="102"/>
      <c r="B2421" s="102" t="s">
        <v>1071</v>
      </c>
      <c r="C2421" s="116" t="s">
        <v>1081</v>
      </c>
      <c r="D2421" s="114" t="s">
        <v>1082</v>
      </c>
      <c r="E2421" s="113" t="s">
        <v>1074</v>
      </c>
      <c r="F2421" s="107"/>
      <c r="G2421" s="10">
        <v>1</v>
      </c>
      <c r="H2421" s="103">
        <v>245</v>
      </c>
      <c r="I2421" s="108">
        <f>Tableau3[[#This Row],[Stock final]]*Tableau3[[#This Row],[P.U.]]</f>
        <v>245</v>
      </c>
      <c r="J2421" s="184"/>
    </row>
    <row r="2422" spans="1:10" ht="19.350000000000001" customHeight="1">
      <c r="A2422" s="102"/>
      <c r="B2422" s="102" t="s">
        <v>1071</v>
      </c>
      <c r="C2422" s="116" t="s">
        <v>1083</v>
      </c>
      <c r="D2422" s="114" t="s">
        <v>1084</v>
      </c>
      <c r="F2422" s="107"/>
      <c r="G2422" s="10">
        <v>5</v>
      </c>
      <c r="H2422" s="103">
        <v>54</v>
      </c>
      <c r="I2422" s="108">
        <f>Tableau3[[#This Row],[Stock final]]*Tableau3[[#This Row],[P.U.]]</f>
        <v>270</v>
      </c>
      <c r="J2422" s="184"/>
    </row>
    <row r="2423" spans="1:10" ht="19.350000000000001" customHeight="1">
      <c r="A2423" s="102"/>
      <c r="B2423" s="102" t="s">
        <v>1071</v>
      </c>
      <c r="C2423" s="116" t="s">
        <v>1085</v>
      </c>
      <c r="D2423" s="114" t="s">
        <v>1086</v>
      </c>
      <c r="F2423" s="107"/>
      <c r="G2423" s="10">
        <v>2</v>
      </c>
      <c r="H2423" s="103">
        <v>343.5</v>
      </c>
      <c r="I2423" s="108">
        <f>Tableau3[[#This Row],[Stock final]]*Tableau3[[#This Row],[P.U.]]</f>
        <v>687</v>
      </c>
      <c r="J2423" s="184"/>
    </row>
    <row r="2424" spans="1:10" ht="19.350000000000001" customHeight="1">
      <c r="A2424" s="102"/>
      <c r="B2424" s="102" t="s">
        <v>1071</v>
      </c>
      <c r="C2424" s="116" t="s">
        <v>1087</v>
      </c>
      <c r="D2424" s="114" t="s">
        <v>1088</v>
      </c>
      <c r="F2424" s="107"/>
      <c r="G2424" s="10"/>
      <c r="H2424" s="103">
        <v>215</v>
      </c>
      <c r="I2424" s="108">
        <f>Tableau3[[#This Row],[Stock final]]*Tableau3[[#This Row],[P.U.]]</f>
        <v>0</v>
      </c>
      <c r="J2424" s="184"/>
    </row>
    <row r="2425" spans="1:10" ht="19.350000000000001" customHeight="1">
      <c r="A2425" s="102"/>
      <c r="B2425" s="102" t="s">
        <v>1071</v>
      </c>
      <c r="C2425" s="116" t="s">
        <v>1089</v>
      </c>
      <c r="D2425" s="114" t="s">
        <v>1090</v>
      </c>
      <c r="F2425" s="107"/>
      <c r="G2425" s="10">
        <v>9</v>
      </c>
      <c r="H2425" s="103">
        <v>185</v>
      </c>
      <c r="I2425" s="108">
        <f>Tableau3[[#This Row],[Stock final]]*Tableau3[[#This Row],[P.U.]]</f>
        <v>1665</v>
      </c>
      <c r="J2425" s="184"/>
    </row>
    <row r="2426" spans="1:10" ht="19.350000000000001" customHeight="1">
      <c r="A2426" s="102"/>
      <c r="B2426" s="102" t="s">
        <v>1071</v>
      </c>
      <c r="C2426" s="116" t="s">
        <v>1091</v>
      </c>
      <c r="D2426" s="114" t="s">
        <v>1092</v>
      </c>
      <c r="F2426" s="107"/>
      <c r="G2426" s="10"/>
      <c r="H2426" s="103">
        <v>185</v>
      </c>
      <c r="I2426" s="108">
        <f>Tableau3[[#This Row],[Stock final]]*Tableau3[[#This Row],[P.U.]]</f>
        <v>0</v>
      </c>
      <c r="J2426" s="184"/>
    </row>
    <row r="2427" spans="1:10" ht="19.350000000000001" customHeight="1">
      <c r="A2427" s="102"/>
      <c r="B2427" s="102" t="s">
        <v>1071</v>
      </c>
      <c r="C2427" s="116" t="s">
        <v>1093</v>
      </c>
      <c r="D2427" s="114" t="s">
        <v>1094</v>
      </c>
      <c r="F2427" s="107"/>
      <c r="G2427" s="10"/>
      <c r="H2427" s="103">
        <v>36</v>
      </c>
      <c r="I2427" s="108">
        <f>Tableau3[[#This Row],[Stock final]]*Tableau3[[#This Row],[P.U.]]</f>
        <v>0</v>
      </c>
      <c r="J2427" s="184"/>
    </row>
    <row r="2428" spans="1:10" ht="19.350000000000001" customHeight="1">
      <c r="A2428" s="102"/>
      <c r="B2428" s="102" t="s">
        <v>1071</v>
      </c>
      <c r="C2428" s="116" t="s">
        <v>1095</v>
      </c>
      <c r="D2428" s="114" t="s">
        <v>1096</v>
      </c>
      <c r="F2428" s="107"/>
      <c r="G2428" s="10"/>
      <c r="H2428" s="103">
        <v>153.22</v>
      </c>
      <c r="I2428" s="108">
        <f>Tableau3[[#This Row],[Stock final]]*Tableau3[[#This Row],[P.U.]]</f>
        <v>0</v>
      </c>
      <c r="J2428" s="184"/>
    </row>
    <row r="2429" spans="1:10" ht="19.350000000000001" customHeight="1">
      <c r="A2429" s="102"/>
      <c r="B2429" s="102" t="s">
        <v>1071</v>
      </c>
      <c r="C2429" s="116" t="s">
        <v>1097</v>
      </c>
      <c r="D2429" s="114" t="s">
        <v>1098</v>
      </c>
      <c r="E2429" s="113" t="s">
        <v>1074</v>
      </c>
      <c r="F2429" s="107"/>
      <c r="G2429" s="10"/>
      <c r="H2429" s="103">
        <v>230.3</v>
      </c>
      <c r="I2429" s="108">
        <f>Tableau3[[#This Row],[Stock final]]*Tableau3[[#This Row],[P.U.]]</f>
        <v>0</v>
      </c>
      <c r="J2429" s="184"/>
    </row>
    <row r="2430" spans="1:10" ht="19.350000000000001" customHeight="1">
      <c r="A2430" s="102"/>
      <c r="B2430" s="102" t="s">
        <v>1071</v>
      </c>
      <c r="C2430" s="116"/>
      <c r="D2430" s="114" t="s">
        <v>1099</v>
      </c>
      <c r="F2430" s="107"/>
      <c r="G2430" s="10">
        <v>19</v>
      </c>
      <c r="H2430" s="103">
        <v>36</v>
      </c>
      <c r="I2430" s="108">
        <f>Tableau3[[#This Row],[Stock final]]*Tableau3[[#This Row],[P.U.]]</f>
        <v>684</v>
      </c>
      <c r="J2430" s="184"/>
    </row>
    <row r="2431" spans="1:10" ht="19.350000000000001" customHeight="1">
      <c r="A2431" s="102"/>
      <c r="B2431" s="102" t="s">
        <v>1071</v>
      </c>
      <c r="C2431" s="116" t="s">
        <v>1100</v>
      </c>
      <c r="D2431" s="114" t="s">
        <v>1101</v>
      </c>
      <c r="E2431" s="113" t="s">
        <v>1074</v>
      </c>
      <c r="F2431" s="107"/>
      <c r="G2431" s="10">
        <v>4</v>
      </c>
      <c r="H2431" s="103">
        <v>395.5</v>
      </c>
      <c r="I2431" s="108">
        <f>Tableau3[[#This Row],[Stock final]]*Tableau3[[#This Row],[P.U.]]</f>
        <v>1582</v>
      </c>
      <c r="J2431" s="184"/>
    </row>
    <row r="2432" spans="1:10" ht="19.350000000000001" customHeight="1">
      <c r="A2432" s="102"/>
      <c r="B2432" s="102" t="s">
        <v>1071</v>
      </c>
      <c r="C2432" s="116"/>
      <c r="D2432" s="114" t="s">
        <v>1102</v>
      </c>
      <c r="F2432" s="107"/>
      <c r="G2432" s="10">
        <v>4</v>
      </c>
      <c r="H2432" s="103">
        <v>63</v>
      </c>
      <c r="I2432" s="108">
        <f>Tableau3[[#This Row],[Stock final]]*Tableau3[[#This Row],[P.U.]]</f>
        <v>252</v>
      </c>
      <c r="J2432" s="184"/>
    </row>
    <row r="2433" spans="1:10" ht="19.350000000000001" customHeight="1">
      <c r="A2433" s="102"/>
      <c r="B2433" s="102"/>
      <c r="C2433" s="116"/>
      <c r="F2433" s="107"/>
      <c r="G2433" s="10"/>
      <c r="H2433" s="103"/>
      <c r="I2433" s="108">
        <f>Tableau3[[#This Row],[Stock final]]*Tableau3[[#This Row],[P.U.]]</f>
        <v>0</v>
      </c>
      <c r="J2433" s="184"/>
    </row>
    <row r="2434" spans="1:10" ht="19.350000000000001" customHeight="1">
      <c r="A2434" s="102"/>
      <c r="B2434" s="102"/>
      <c r="C2434" s="116"/>
      <c r="F2434" s="107"/>
      <c r="G2434" s="10"/>
      <c r="H2434" s="103"/>
      <c r="I2434" s="108">
        <f>Tableau3[[#This Row],[Stock final]]*Tableau3[[#This Row],[P.U.]]</f>
        <v>0</v>
      </c>
      <c r="J2434" s="184"/>
    </row>
    <row r="2435" spans="1:10" ht="19.350000000000001" customHeight="1">
      <c r="A2435" s="102"/>
      <c r="B2435" s="102"/>
      <c r="C2435" s="116"/>
      <c r="F2435" s="107"/>
      <c r="G2435" s="10"/>
      <c r="H2435" s="103"/>
      <c r="I2435" s="108">
        <f>Tableau3[[#This Row],[Stock final]]*Tableau3[[#This Row],[P.U.]]</f>
        <v>0</v>
      </c>
      <c r="J2435" s="184"/>
    </row>
    <row r="2436" spans="1:10" ht="19.350000000000001" customHeight="1">
      <c r="A2436" s="102"/>
      <c r="B2436" s="102"/>
      <c r="C2436" s="116"/>
      <c r="F2436" s="107"/>
      <c r="G2436" s="10"/>
      <c r="H2436" s="103"/>
      <c r="I2436" s="108">
        <f>Tableau3[[#This Row],[Stock final]]*Tableau3[[#This Row],[P.U.]]</f>
        <v>0</v>
      </c>
      <c r="J2436" s="184"/>
    </row>
    <row r="2437" spans="1:10" ht="19.350000000000001" customHeight="1">
      <c r="A2437" s="102"/>
      <c r="B2437" s="102"/>
      <c r="C2437" s="116"/>
      <c r="F2437" s="107"/>
      <c r="G2437" s="10"/>
      <c r="H2437" s="103"/>
      <c r="I2437" s="108">
        <f>Tableau3[[#This Row],[Stock final]]*Tableau3[[#This Row],[P.U.]]</f>
        <v>0</v>
      </c>
      <c r="J2437" s="184"/>
    </row>
    <row r="2438" spans="1:10" ht="19.350000000000001" customHeight="1">
      <c r="A2438" s="102"/>
      <c r="B2438" s="102"/>
      <c r="C2438" s="116"/>
      <c r="F2438" s="107"/>
      <c r="G2438" s="10"/>
      <c r="H2438" s="103"/>
      <c r="I2438" s="108">
        <f>Tableau3[[#This Row],[Stock final]]*Tableau3[[#This Row],[P.U.]]</f>
        <v>0</v>
      </c>
      <c r="J2438" s="184"/>
    </row>
    <row r="2439" spans="1:10" ht="19.350000000000001" customHeight="1">
      <c r="A2439" s="102"/>
      <c r="B2439" s="102"/>
      <c r="C2439" s="116"/>
      <c r="F2439" s="107"/>
      <c r="G2439" s="10"/>
      <c r="H2439" s="103"/>
      <c r="I2439" s="108">
        <f>Tableau3[[#This Row],[Stock final]]*Tableau3[[#This Row],[P.U.]]</f>
        <v>0</v>
      </c>
      <c r="J2439" s="184"/>
    </row>
    <row r="2440" spans="1:10" ht="19.350000000000001" customHeight="1">
      <c r="A2440" s="102"/>
      <c r="B2440" s="102"/>
      <c r="C2440" s="116"/>
      <c r="F2440" s="107"/>
      <c r="G2440" s="10"/>
      <c r="H2440" s="103"/>
      <c r="I2440" s="108">
        <f>Tableau3[[#This Row],[Stock final]]*Tableau3[[#This Row],[P.U.]]</f>
        <v>0</v>
      </c>
      <c r="J2440" s="184"/>
    </row>
    <row r="2441" spans="1:10" ht="19.350000000000001" customHeight="1">
      <c r="A2441" s="102"/>
      <c r="B2441" s="102"/>
      <c r="C2441" s="116"/>
      <c r="F2441" s="107"/>
      <c r="G2441" s="10"/>
      <c r="H2441" s="103"/>
      <c r="I2441" s="108">
        <f>Tableau3[[#This Row],[Stock final]]*Tableau3[[#This Row],[P.U.]]</f>
        <v>0</v>
      </c>
      <c r="J2441" s="184"/>
    </row>
    <row r="2442" spans="1:10" ht="19.350000000000001" customHeight="1">
      <c r="A2442" s="102"/>
      <c r="B2442" s="102"/>
      <c r="C2442" s="116"/>
      <c r="F2442" s="107"/>
      <c r="G2442" s="10"/>
      <c r="H2442" s="103"/>
      <c r="I2442" s="108">
        <f>Tableau3[[#This Row],[Stock final]]*Tableau3[[#This Row],[P.U.]]</f>
        <v>0</v>
      </c>
      <c r="J2442" s="184"/>
    </row>
    <row r="2443" spans="1:10" ht="19.350000000000001" customHeight="1">
      <c r="A2443" s="102"/>
      <c r="B2443" s="102"/>
      <c r="C2443" s="116"/>
      <c r="F2443" s="107"/>
      <c r="G2443" s="10"/>
      <c r="H2443" s="103"/>
      <c r="I2443" s="108">
        <f>Tableau3[[#This Row],[Stock final]]*Tableau3[[#This Row],[P.U.]]</f>
        <v>0</v>
      </c>
      <c r="J2443" s="184"/>
    </row>
    <row r="2444" spans="1:10" ht="19.350000000000001" customHeight="1">
      <c r="A2444" s="102"/>
      <c r="B2444" s="102"/>
      <c r="C2444" s="116"/>
      <c r="F2444" s="107"/>
      <c r="G2444" s="10"/>
      <c r="H2444" s="103"/>
      <c r="I2444" s="108">
        <f>Tableau3[[#This Row],[Stock final]]*Tableau3[[#This Row],[P.U.]]</f>
        <v>0</v>
      </c>
      <c r="J2444" s="184"/>
    </row>
    <row r="2445" spans="1:10" ht="19.350000000000001" customHeight="1">
      <c r="A2445" s="102"/>
      <c r="B2445" s="102"/>
      <c r="C2445" s="116"/>
      <c r="F2445" s="107"/>
      <c r="G2445" s="10"/>
      <c r="H2445" s="103"/>
      <c r="I2445" s="108">
        <f>Tableau3[[#This Row],[Stock final]]*Tableau3[[#This Row],[P.U.]]</f>
        <v>0</v>
      </c>
      <c r="J2445" s="184"/>
    </row>
    <row r="2446" spans="1:10" ht="19.350000000000001" customHeight="1">
      <c r="A2446" s="102"/>
      <c r="B2446" s="102"/>
      <c r="C2446" s="116"/>
      <c r="F2446" s="107"/>
      <c r="G2446" s="10"/>
      <c r="H2446" s="103"/>
      <c r="I2446" s="108">
        <f>Tableau3[[#This Row],[Stock final]]*Tableau3[[#This Row],[P.U.]]</f>
        <v>0</v>
      </c>
      <c r="J2446" s="184"/>
    </row>
    <row r="2447" spans="1:10" ht="19.350000000000001" customHeight="1">
      <c r="A2447" s="102"/>
      <c r="B2447" s="102"/>
      <c r="C2447" s="116"/>
      <c r="F2447" s="107"/>
      <c r="G2447" s="10"/>
      <c r="H2447" s="103"/>
      <c r="I2447" s="108">
        <f>Tableau3[[#This Row],[Stock final]]*Tableau3[[#This Row],[P.U.]]</f>
        <v>0</v>
      </c>
      <c r="J2447" s="184"/>
    </row>
    <row r="2448" spans="1:10" ht="19.350000000000001" customHeight="1">
      <c r="A2448" s="102"/>
      <c r="B2448" s="102"/>
      <c r="C2448" s="116"/>
      <c r="F2448" s="107"/>
      <c r="G2448" s="10"/>
      <c r="H2448" s="103"/>
      <c r="I2448" s="108">
        <f>Tableau3[[#This Row],[Stock final]]*Tableau3[[#This Row],[P.U.]]</f>
        <v>0</v>
      </c>
      <c r="J2448" s="184"/>
    </row>
    <row r="2449" spans="1:10" ht="19.350000000000001" customHeight="1">
      <c r="A2449" s="102"/>
      <c r="B2449" s="102"/>
      <c r="C2449" s="116"/>
      <c r="F2449" s="107"/>
      <c r="G2449" s="10"/>
      <c r="H2449" s="103"/>
      <c r="I2449" s="108">
        <f>Tableau3[[#This Row],[Stock final]]*Tableau3[[#This Row],[P.U.]]</f>
        <v>0</v>
      </c>
      <c r="J2449" s="184"/>
    </row>
    <row r="2450" spans="1:10" ht="19.350000000000001" customHeight="1">
      <c r="A2450" s="102"/>
      <c r="B2450" s="102"/>
      <c r="C2450" s="116"/>
      <c r="F2450" s="107"/>
      <c r="G2450" s="10"/>
      <c r="H2450" s="103"/>
      <c r="I2450" s="108">
        <f>Tableau3[[#This Row],[Stock final]]*Tableau3[[#This Row],[P.U.]]</f>
        <v>0</v>
      </c>
      <c r="J2450" s="184"/>
    </row>
    <row r="2451" spans="1:10" ht="19.350000000000001" customHeight="1">
      <c r="A2451" s="102"/>
      <c r="B2451" s="102"/>
      <c r="C2451" s="116"/>
      <c r="F2451" s="107"/>
      <c r="G2451" s="10"/>
      <c r="H2451" s="103"/>
      <c r="I2451" s="108">
        <f>Tableau3[[#This Row],[Stock final]]*Tableau3[[#This Row],[P.U.]]</f>
        <v>0</v>
      </c>
      <c r="J2451" s="184"/>
    </row>
    <row r="2452" spans="1:10" ht="19.350000000000001" customHeight="1">
      <c r="A2452" s="102"/>
      <c r="B2452" s="102"/>
      <c r="C2452" s="116"/>
      <c r="F2452" s="107"/>
      <c r="G2452" s="10"/>
      <c r="H2452" s="103"/>
      <c r="I2452" s="108">
        <f>Tableau3[[#This Row],[Stock final]]*Tableau3[[#This Row],[P.U.]]</f>
        <v>0</v>
      </c>
      <c r="J2452" s="184"/>
    </row>
    <row r="2453" spans="1:10" ht="19.350000000000001" customHeight="1">
      <c r="A2453" s="102"/>
      <c r="B2453" s="102"/>
      <c r="C2453" s="116"/>
      <c r="F2453" s="107"/>
      <c r="G2453" s="10"/>
      <c r="H2453" s="103"/>
      <c r="I2453" s="108">
        <f>Tableau3[[#This Row],[Stock final]]*Tableau3[[#This Row],[P.U.]]</f>
        <v>0</v>
      </c>
      <c r="J2453" s="184"/>
    </row>
    <row r="2454" spans="1:10" ht="19.350000000000001" customHeight="1">
      <c r="A2454" s="102"/>
      <c r="B2454" s="102"/>
      <c r="C2454" s="116"/>
      <c r="F2454" s="107"/>
      <c r="G2454" s="10"/>
      <c r="H2454" s="103"/>
      <c r="I2454" s="108">
        <f>Tableau3[[#This Row],[Stock final]]*Tableau3[[#This Row],[P.U.]]</f>
        <v>0</v>
      </c>
      <c r="J2454" s="184"/>
    </row>
    <row r="2455" spans="1:10" ht="19.350000000000001" customHeight="1">
      <c r="A2455" s="102"/>
      <c r="B2455" s="102"/>
      <c r="C2455" s="116"/>
      <c r="F2455" s="107"/>
      <c r="G2455" s="10"/>
      <c r="H2455" s="103"/>
      <c r="I2455" s="108">
        <f>Tableau3[[#This Row],[Stock final]]*Tableau3[[#This Row],[P.U.]]</f>
        <v>0</v>
      </c>
      <c r="J2455" s="184"/>
    </row>
    <row r="2456" spans="1:10" ht="19.350000000000001" customHeight="1">
      <c r="A2456" s="102"/>
      <c r="B2456" s="102"/>
      <c r="C2456" s="116"/>
      <c r="F2456" s="107"/>
      <c r="G2456" s="10"/>
      <c r="H2456" s="103"/>
      <c r="I2456" s="108">
        <f>Tableau3[[#This Row],[Stock final]]*Tableau3[[#This Row],[P.U.]]</f>
        <v>0</v>
      </c>
      <c r="J2456" s="184"/>
    </row>
    <row r="2457" spans="1:10" ht="19.350000000000001" customHeight="1">
      <c r="A2457" s="102"/>
      <c r="B2457" s="102"/>
      <c r="C2457" s="116"/>
      <c r="F2457" s="107"/>
      <c r="G2457" s="10"/>
      <c r="H2457" s="103"/>
      <c r="I2457" s="108">
        <f>Tableau3[[#This Row],[Stock final]]*Tableau3[[#This Row],[P.U.]]</f>
        <v>0</v>
      </c>
      <c r="J2457" s="184"/>
    </row>
    <row r="2458" spans="1:10" ht="19.350000000000001" customHeight="1">
      <c r="A2458" s="102"/>
      <c r="B2458" s="102"/>
      <c r="C2458" s="116"/>
      <c r="F2458" s="107"/>
      <c r="G2458" s="10"/>
      <c r="H2458" s="103"/>
      <c r="I2458" s="108">
        <f>Tableau3[[#This Row],[Stock final]]*Tableau3[[#This Row],[P.U.]]</f>
        <v>0</v>
      </c>
      <c r="J2458" s="184"/>
    </row>
    <row r="2459" spans="1:10" ht="19.350000000000001" customHeight="1">
      <c r="A2459" s="102"/>
      <c r="B2459" s="102"/>
      <c r="C2459" s="116"/>
      <c r="F2459" s="107"/>
      <c r="G2459" s="10"/>
      <c r="H2459" s="103"/>
      <c r="I2459" s="108">
        <f>Tableau3[[#This Row],[Stock final]]*Tableau3[[#This Row],[P.U.]]</f>
        <v>0</v>
      </c>
      <c r="J2459" s="184"/>
    </row>
    <row r="2460" spans="1:10" ht="19.350000000000001" customHeight="1">
      <c r="A2460" s="102"/>
      <c r="B2460" s="102"/>
      <c r="C2460" s="116"/>
      <c r="F2460" s="107"/>
      <c r="G2460" s="10"/>
      <c r="H2460" s="103"/>
      <c r="I2460" s="108">
        <f>Tableau3[[#This Row],[Stock final]]*Tableau3[[#This Row],[P.U.]]</f>
        <v>0</v>
      </c>
      <c r="J2460" s="184"/>
    </row>
    <row r="2461" spans="1:10" ht="19.350000000000001" customHeight="1">
      <c r="A2461" s="102"/>
      <c r="B2461" s="102"/>
      <c r="C2461" s="116"/>
      <c r="F2461" s="107"/>
      <c r="G2461" s="10"/>
      <c r="H2461" s="103"/>
      <c r="I2461" s="108">
        <f>Tableau3[[#This Row],[Stock final]]*Tableau3[[#This Row],[P.U.]]</f>
        <v>0</v>
      </c>
      <c r="J2461" s="184"/>
    </row>
    <row r="2462" spans="1:10" ht="19.350000000000001" customHeight="1">
      <c r="A2462" s="102"/>
      <c r="B2462" s="102"/>
      <c r="C2462" s="116"/>
      <c r="F2462" s="107"/>
      <c r="G2462" s="10"/>
      <c r="H2462" s="103"/>
      <c r="I2462" s="108">
        <f>Tableau3[[#This Row],[Stock final]]*Tableau3[[#This Row],[P.U.]]</f>
        <v>0</v>
      </c>
      <c r="J2462" s="184"/>
    </row>
    <row r="2463" spans="1:10" ht="19.350000000000001" customHeight="1">
      <c r="A2463" s="102"/>
      <c r="B2463" s="102"/>
      <c r="C2463" s="116"/>
      <c r="F2463" s="107"/>
      <c r="G2463" s="10"/>
      <c r="H2463" s="103"/>
      <c r="I2463" s="108">
        <f>Tableau3[[#This Row],[Stock final]]*Tableau3[[#This Row],[P.U.]]</f>
        <v>0</v>
      </c>
      <c r="J2463" s="184"/>
    </row>
    <row r="2464" spans="1:10" ht="19.350000000000001" customHeight="1">
      <c r="A2464" s="102"/>
      <c r="B2464" s="102"/>
      <c r="C2464" s="116"/>
      <c r="F2464" s="107"/>
      <c r="G2464" s="10"/>
      <c r="H2464" s="103"/>
      <c r="I2464" s="108">
        <f>Tableau3[[#This Row],[Stock final]]*Tableau3[[#This Row],[P.U.]]</f>
        <v>0</v>
      </c>
      <c r="J2464" s="184"/>
    </row>
    <row r="2465" spans="1:10" ht="19.350000000000001" customHeight="1">
      <c r="A2465" s="102"/>
      <c r="B2465" s="102"/>
      <c r="C2465" s="116"/>
      <c r="F2465" s="107"/>
      <c r="G2465" s="10"/>
      <c r="H2465" s="103"/>
      <c r="I2465" s="108">
        <f>Tableau3[[#This Row],[Stock final]]*Tableau3[[#This Row],[P.U.]]</f>
        <v>0</v>
      </c>
      <c r="J2465" s="184"/>
    </row>
    <row r="2466" spans="1:10" ht="19.350000000000001" customHeight="1">
      <c r="A2466" s="102"/>
      <c r="B2466" s="102"/>
      <c r="C2466" s="116"/>
      <c r="F2466" s="107"/>
      <c r="G2466" s="10"/>
      <c r="H2466" s="103"/>
      <c r="I2466" s="108">
        <f>Tableau3[[#This Row],[Stock final]]*Tableau3[[#This Row],[P.U.]]</f>
        <v>0</v>
      </c>
      <c r="J2466" s="184"/>
    </row>
    <row r="2467" spans="1:10" ht="19.350000000000001" customHeight="1">
      <c r="A2467" s="102"/>
      <c r="B2467" s="102"/>
      <c r="C2467" s="116"/>
      <c r="F2467" s="107"/>
      <c r="G2467" s="10"/>
      <c r="H2467" s="103"/>
      <c r="I2467" s="108">
        <f>Tableau3[[#This Row],[Stock final]]*Tableau3[[#This Row],[P.U.]]</f>
        <v>0</v>
      </c>
      <c r="J2467" s="184"/>
    </row>
    <row r="2468" spans="1:10" ht="19.350000000000001" customHeight="1">
      <c r="A2468" s="102"/>
      <c r="B2468" s="102"/>
      <c r="C2468" s="116"/>
      <c r="F2468" s="107"/>
      <c r="G2468" s="10"/>
      <c r="H2468" s="103"/>
      <c r="I2468" s="108">
        <f>Tableau3[[#This Row],[Stock final]]*Tableau3[[#This Row],[P.U.]]</f>
        <v>0</v>
      </c>
      <c r="J2468" s="184"/>
    </row>
    <row r="2469" spans="1:10" ht="19.350000000000001" customHeight="1">
      <c r="A2469" s="102"/>
      <c r="B2469" s="102"/>
      <c r="C2469" s="116"/>
      <c r="F2469" s="107"/>
      <c r="G2469" s="10"/>
      <c r="H2469" s="103"/>
      <c r="I2469" s="108">
        <f>Tableau3[[#This Row],[Stock final]]*Tableau3[[#This Row],[P.U.]]</f>
        <v>0</v>
      </c>
      <c r="J2469" s="184"/>
    </row>
    <row r="2470" spans="1:10" ht="19.350000000000001" customHeight="1">
      <c r="A2470" s="102"/>
      <c r="B2470" s="102"/>
      <c r="C2470" s="116"/>
      <c r="F2470" s="107"/>
      <c r="G2470" s="10"/>
      <c r="H2470" s="103"/>
      <c r="I2470" s="108">
        <f>Tableau3[[#This Row],[Stock final]]*Tableau3[[#This Row],[P.U.]]</f>
        <v>0</v>
      </c>
      <c r="J2470" s="184"/>
    </row>
    <row r="2471" spans="1:10" ht="19.350000000000001" customHeight="1">
      <c r="A2471" s="102"/>
      <c r="B2471" s="102"/>
      <c r="C2471" s="116"/>
      <c r="F2471" s="107"/>
      <c r="G2471" s="10"/>
      <c r="H2471" s="103"/>
      <c r="I2471" s="108">
        <f>Tableau3[[#This Row],[Stock final]]*Tableau3[[#This Row],[P.U.]]</f>
        <v>0</v>
      </c>
      <c r="J2471" s="184"/>
    </row>
    <row r="2472" spans="1:10" ht="19.350000000000001" customHeight="1">
      <c r="A2472" s="102"/>
      <c r="B2472" s="102"/>
      <c r="C2472" s="116"/>
      <c r="F2472" s="107"/>
      <c r="G2472" s="10"/>
      <c r="H2472" s="103"/>
      <c r="I2472" s="108">
        <f>Tableau3[[#This Row],[Stock final]]*Tableau3[[#This Row],[P.U.]]</f>
        <v>0</v>
      </c>
      <c r="J2472" s="184"/>
    </row>
    <row r="2473" spans="1:10" ht="19.350000000000001" customHeight="1">
      <c r="A2473" s="102"/>
      <c r="B2473" s="102"/>
      <c r="C2473" s="116"/>
      <c r="F2473" s="107"/>
      <c r="G2473" s="10"/>
      <c r="H2473" s="103"/>
      <c r="I2473" s="108">
        <f>Tableau3[[#This Row],[Stock final]]*Tableau3[[#This Row],[P.U.]]</f>
        <v>0</v>
      </c>
      <c r="J2473" s="184"/>
    </row>
    <row r="2474" spans="1:10" ht="19.350000000000001" customHeight="1">
      <c r="A2474" s="102"/>
      <c r="B2474" s="102"/>
      <c r="C2474" s="116"/>
      <c r="F2474" s="107"/>
      <c r="G2474" s="10"/>
      <c r="H2474" s="103"/>
      <c r="I2474" s="108">
        <f>Tableau3[[#This Row],[Stock final]]*Tableau3[[#This Row],[P.U.]]</f>
        <v>0</v>
      </c>
      <c r="J2474" s="184"/>
    </row>
    <row r="2475" spans="1:10" ht="19.350000000000001" customHeight="1">
      <c r="A2475" s="102"/>
      <c r="B2475" s="102"/>
      <c r="C2475" s="116"/>
      <c r="F2475" s="107"/>
      <c r="G2475" s="10"/>
      <c r="H2475" s="103"/>
      <c r="I2475" s="108">
        <f>Tableau3[[#This Row],[Stock final]]*Tableau3[[#This Row],[P.U.]]</f>
        <v>0</v>
      </c>
      <c r="J2475" s="184"/>
    </row>
    <row r="2476" spans="1:10" ht="19.350000000000001" customHeight="1">
      <c r="A2476" s="102"/>
      <c r="B2476" s="102"/>
      <c r="C2476" s="116"/>
      <c r="F2476" s="107"/>
      <c r="G2476" s="10"/>
      <c r="H2476" s="103"/>
      <c r="I2476" s="108">
        <f>Tableau3[[#This Row],[Stock final]]*Tableau3[[#This Row],[P.U.]]</f>
        <v>0</v>
      </c>
      <c r="J2476" s="184"/>
    </row>
    <row r="2477" spans="1:10" ht="19.350000000000001" customHeight="1">
      <c r="A2477" s="102"/>
      <c r="B2477" s="102"/>
      <c r="C2477" s="116"/>
      <c r="F2477" s="107"/>
      <c r="G2477" s="10"/>
      <c r="H2477" s="103"/>
      <c r="I2477" s="108">
        <f>Tableau3[[#This Row],[Stock final]]*Tableau3[[#This Row],[P.U.]]</f>
        <v>0</v>
      </c>
      <c r="J2477" s="184"/>
    </row>
    <row r="2478" spans="1:10" ht="19.350000000000001" customHeight="1">
      <c r="A2478" s="102"/>
      <c r="B2478" s="102"/>
      <c r="C2478" s="116"/>
      <c r="F2478" s="107"/>
      <c r="G2478" s="10"/>
      <c r="H2478" s="103"/>
      <c r="I2478" s="108">
        <f>Tableau3[[#This Row],[Stock final]]*Tableau3[[#This Row],[P.U.]]</f>
        <v>0</v>
      </c>
      <c r="J2478" s="184"/>
    </row>
    <row r="2479" spans="1:10" ht="19.350000000000001" customHeight="1">
      <c r="A2479" s="102"/>
      <c r="B2479" s="102"/>
      <c r="C2479" s="116"/>
      <c r="F2479" s="107"/>
      <c r="G2479" s="10"/>
      <c r="H2479" s="103"/>
      <c r="I2479" s="108">
        <f>Tableau3[[#This Row],[Stock final]]*Tableau3[[#This Row],[P.U.]]</f>
        <v>0</v>
      </c>
      <c r="J2479" s="184"/>
    </row>
    <row r="2480" spans="1:10" ht="19.350000000000001" customHeight="1">
      <c r="A2480" s="102"/>
      <c r="B2480" s="102"/>
      <c r="C2480" s="116"/>
      <c r="F2480" s="107"/>
      <c r="G2480" s="10"/>
      <c r="H2480" s="103"/>
      <c r="I2480" s="108">
        <f>Tableau3[[#This Row],[Stock final]]*Tableau3[[#This Row],[P.U.]]</f>
        <v>0</v>
      </c>
      <c r="J2480" s="184"/>
    </row>
    <row r="2481" spans="1:10" ht="19.350000000000001" customHeight="1">
      <c r="A2481" s="102"/>
      <c r="B2481" s="102"/>
      <c r="C2481" s="116"/>
      <c r="F2481" s="107"/>
      <c r="G2481" s="10"/>
      <c r="H2481" s="103"/>
      <c r="I2481" s="108">
        <f>Tableau3[[#This Row],[Stock final]]*Tableau3[[#This Row],[P.U.]]</f>
        <v>0</v>
      </c>
      <c r="J2481" s="184"/>
    </row>
    <row r="2482" spans="1:10" ht="19.350000000000001" customHeight="1">
      <c r="A2482" s="102"/>
      <c r="B2482" s="109" t="s">
        <v>1103</v>
      </c>
      <c r="C2482" s="116">
        <v>70502</v>
      </c>
      <c r="D2482" s="114" t="s">
        <v>1104</v>
      </c>
      <c r="E2482" s="113" t="s">
        <v>1105</v>
      </c>
      <c r="F2482" s="107"/>
      <c r="G2482" s="10">
        <v>10</v>
      </c>
      <c r="H2482" s="103">
        <v>63.11</v>
      </c>
      <c r="I2482" s="108">
        <f>Tableau3[[#This Row],[Stock final]]*Tableau3[[#This Row],[P.U.]]</f>
        <v>631.1</v>
      </c>
      <c r="J2482" s="184"/>
    </row>
    <row r="2483" spans="1:10" ht="19.350000000000001" customHeight="1">
      <c r="A2483" s="102"/>
      <c r="B2483" s="102" t="s">
        <v>1103</v>
      </c>
      <c r="C2483" s="116">
        <v>10415</v>
      </c>
      <c r="D2483" s="114" t="s">
        <v>1106</v>
      </c>
      <c r="F2483" s="107"/>
      <c r="G2483" s="10"/>
      <c r="H2483" s="103">
        <v>42.92</v>
      </c>
      <c r="I2483" s="108">
        <f>Tableau3[[#This Row],[Stock final]]*Tableau3[[#This Row],[P.U.]]</f>
        <v>0</v>
      </c>
      <c r="J2483" s="184"/>
    </row>
    <row r="2484" spans="1:10" ht="19.350000000000001" customHeight="1">
      <c r="A2484" s="102"/>
      <c r="B2484" s="102" t="s">
        <v>1103</v>
      </c>
      <c r="C2484" s="116">
        <v>10406</v>
      </c>
      <c r="D2484" s="114" t="s">
        <v>1106</v>
      </c>
      <c r="F2484" s="107"/>
      <c r="G2484" s="10"/>
      <c r="H2484" s="103">
        <v>41.56</v>
      </c>
      <c r="I2484" s="108">
        <f>Tableau3[[#This Row],[Stock final]]*Tableau3[[#This Row],[P.U.]]</f>
        <v>0</v>
      </c>
      <c r="J2484" s="184"/>
    </row>
    <row r="2485" spans="1:10" ht="19.350000000000001" customHeight="1">
      <c r="A2485" s="102"/>
      <c r="B2485" s="102" t="s">
        <v>1103</v>
      </c>
      <c r="C2485" s="116">
        <v>10424</v>
      </c>
      <c r="D2485" s="114" t="s">
        <v>1106</v>
      </c>
      <c r="F2485" s="107"/>
      <c r="G2485" s="10">
        <v>7</v>
      </c>
      <c r="H2485" s="103">
        <v>47.34</v>
      </c>
      <c r="I2485" s="108">
        <f>Tableau3[[#This Row],[Stock final]]*Tableau3[[#This Row],[P.U.]]</f>
        <v>331.38</v>
      </c>
      <c r="J2485" s="184"/>
    </row>
    <row r="2486" spans="1:10" ht="19.350000000000001" customHeight="1">
      <c r="A2486" s="102"/>
      <c r="B2486" s="102" t="s">
        <v>1103</v>
      </c>
      <c r="C2486" s="116">
        <v>894</v>
      </c>
      <c r="D2486" s="11" t="s">
        <v>1467</v>
      </c>
      <c r="F2486" s="107"/>
      <c r="G2486" s="10">
        <v>5</v>
      </c>
      <c r="H2486" s="103"/>
      <c r="I2486" s="108">
        <f>Tableau3[[#This Row],[Stock final]]*Tableau3[[#This Row],[P.U.]]</f>
        <v>0</v>
      </c>
      <c r="J2486" s="184" t="s">
        <v>1551</v>
      </c>
    </row>
    <row r="2487" spans="1:10" ht="19.350000000000001" customHeight="1">
      <c r="A2487" s="102"/>
      <c r="B2487" s="102" t="s">
        <v>1103</v>
      </c>
      <c r="C2487" s="116" t="s">
        <v>1468</v>
      </c>
      <c r="D2487" s="11" t="s">
        <v>1585</v>
      </c>
      <c r="F2487" s="107"/>
      <c r="G2487" s="10">
        <v>10</v>
      </c>
      <c r="H2487" s="103">
        <v>450</v>
      </c>
      <c r="I2487" s="108">
        <f>Tableau3[[#This Row],[Stock final]]*Tableau3[[#This Row],[P.U.]]</f>
        <v>4500</v>
      </c>
      <c r="J2487" s="184"/>
    </row>
    <row r="2488" spans="1:10" ht="19.350000000000001" customHeight="1">
      <c r="A2488" s="102"/>
      <c r="B2488" s="102" t="s">
        <v>1103</v>
      </c>
      <c r="C2488" s="116" t="s">
        <v>1470</v>
      </c>
      <c r="D2488" s="11" t="s">
        <v>1469</v>
      </c>
      <c r="F2488" s="107"/>
      <c r="G2488" s="10">
        <v>3</v>
      </c>
      <c r="H2488" s="103">
        <v>350</v>
      </c>
      <c r="I2488" s="108">
        <f>Tableau3[[#This Row],[Stock final]]*Tableau3[[#This Row],[P.U.]]</f>
        <v>1050</v>
      </c>
      <c r="J2488" s="184"/>
    </row>
    <row r="2489" spans="1:10" ht="19.350000000000001" customHeight="1">
      <c r="A2489" s="102"/>
      <c r="B2489" s="102" t="s">
        <v>1103</v>
      </c>
      <c r="C2489" s="116" t="s">
        <v>1471</v>
      </c>
      <c r="D2489" s="11" t="s">
        <v>1472</v>
      </c>
      <c r="F2489" s="107"/>
      <c r="G2489" s="10">
        <v>1</v>
      </c>
      <c r="H2489" s="103">
        <v>195.5</v>
      </c>
      <c r="I2489" s="108">
        <f>Tableau3[[#This Row],[Stock final]]*Tableau3[[#This Row],[P.U.]]</f>
        <v>195.5</v>
      </c>
      <c r="J2489" s="184"/>
    </row>
    <row r="2490" spans="1:10" ht="19.350000000000001" customHeight="1">
      <c r="A2490" s="102"/>
      <c r="B2490" s="102" t="s">
        <v>1103</v>
      </c>
      <c r="C2490" s="116" t="s">
        <v>1473</v>
      </c>
      <c r="D2490" s="11" t="s">
        <v>1472</v>
      </c>
      <c r="F2490" s="107"/>
      <c r="G2490" s="10">
        <v>2</v>
      </c>
      <c r="H2490" s="103">
        <v>195</v>
      </c>
      <c r="I2490" s="108">
        <f>Tableau3[[#This Row],[Stock final]]*Tableau3[[#This Row],[P.U.]]</f>
        <v>390</v>
      </c>
      <c r="J2490" s="184"/>
    </row>
    <row r="2491" spans="1:10" ht="19.350000000000001" customHeight="1">
      <c r="A2491" s="102"/>
      <c r="B2491" s="102"/>
      <c r="C2491" s="116"/>
      <c r="F2491" s="107"/>
      <c r="G2491" s="10"/>
      <c r="H2491" s="103"/>
      <c r="I2491" s="108">
        <f>Tableau3[[#This Row],[Stock final]]*Tableau3[[#This Row],[P.U.]]</f>
        <v>0</v>
      </c>
      <c r="J2491" s="184"/>
    </row>
    <row r="2492" spans="1:10" ht="19.350000000000001" customHeight="1">
      <c r="A2492" s="102"/>
      <c r="B2492" s="102"/>
      <c r="C2492" s="116"/>
      <c r="F2492" s="107"/>
      <c r="G2492" s="10"/>
      <c r="H2492" s="103"/>
      <c r="I2492" s="108">
        <f>Tableau3[[#This Row],[Stock final]]*Tableau3[[#This Row],[P.U.]]</f>
        <v>0</v>
      </c>
      <c r="J2492" s="184"/>
    </row>
    <row r="2493" spans="1:10" ht="19.350000000000001" customHeight="1">
      <c r="A2493" s="102"/>
      <c r="B2493" s="102"/>
      <c r="C2493" s="116"/>
      <c r="F2493" s="107"/>
      <c r="G2493" s="10"/>
      <c r="H2493" s="103"/>
      <c r="I2493" s="108">
        <f>Tableau3[[#This Row],[Stock final]]*Tableau3[[#This Row],[P.U.]]</f>
        <v>0</v>
      </c>
      <c r="J2493" s="184"/>
    </row>
    <row r="2494" spans="1:10" ht="19.350000000000001" customHeight="1">
      <c r="A2494" s="102"/>
      <c r="B2494" s="102"/>
      <c r="C2494" s="116"/>
      <c r="F2494" s="107"/>
      <c r="G2494" s="10"/>
      <c r="H2494" s="103"/>
      <c r="I2494" s="108">
        <f>Tableau3[[#This Row],[Stock final]]*Tableau3[[#This Row],[P.U.]]</f>
        <v>0</v>
      </c>
      <c r="J2494" s="184"/>
    </row>
    <row r="2495" spans="1:10" ht="19.350000000000001" customHeight="1">
      <c r="A2495" s="102"/>
      <c r="B2495" s="102"/>
      <c r="C2495" s="116"/>
      <c r="F2495" s="107"/>
      <c r="G2495" s="10"/>
      <c r="H2495" s="103"/>
      <c r="I2495" s="108">
        <f>Tableau3[[#This Row],[Stock final]]*Tableau3[[#This Row],[P.U.]]</f>
        <v>0</v>
      </c>
      <c r="J2495" s="184"/>
    </row>
    <row r="2496" spans="1:10" ht="19.350000000000001" customHeight="1">
      <c r="A2496" s="102"/>
      <c r="B2496" s="102"/>
      <c r="C2496" s="116"/>
      <c r="F2496" s="107"/>
      <c r="G2496" s="10"/>
      <c r="H2496" s="103"/>
      <c r="I2496" s="108">
        <f>Tableau3[[#This Row],[Stock final]]*Tableau3[[#This Row],[P.U.]]</f>
        <v>0</v>
      </c>
      <c r="J2496" s="184"/>
    </row>
    <row r="2497" spans="1:10" ht="19.350000000000001" customHeight="1">
      <c r="A2497" s="102"/>
      <c r="B2497" s="102"/>
      <c r="C2497" s="116"/>
      <c r="F2497" s="107"/>
      <c r="G2497" s="10"/>
      <c r="H2497" s="103"/>
      <c r="I2497" s="108">
        <f>Tableau3[[#This Row],[Stock final]]*Tableau3[[#This Row],[P.U.]]</f>
        <v>0</v>
      </c>
      <c r="J2497" s="184"/>
    </row>
    <row r="2498" spans="1:10" ht="19.350000000000001" customHeight="1">
      <c r="A2498" s="102"/>
      <c r="B2498" s="102"/>
      <c r="C2498" s="116"/>
      <c r="F2498" s="107"/>
      <c r="G2498" s="10"/>
      <c r="H2498" s="103"/>
      <c r="I2498" s="108">
        <f>Tableau3[[#This Row],[Stock final]]*Tableau3[[#This Row],[P.U.]]</f>
        <v>0</v>
      </c>
      <c r="J2498" s="184"/>
    </row>
    <row r="2499" spans="1:10" ht="19.350000000000001" customHeight="1">
      <c r="A2499" s="102"/>
      <c r="B2499" s="102"/>
      <c r="C2499" s="116"/>
      <c r="F2499" s="107"/>
      <c r="G2499" s="10"/>
      <c r="H2499" s="103"/>
      <c r="I2499" s="108">
        <f>Tableau3[[#This Row],[Stock final]]*Tableau3[[#This Row],[P.U.]]</f>
        <v>0</v>
      </c>
      <c r="J2499" s="184"/>
    </row>
    <row r="2500" spans="1:10" ht="19.350000000000001" customHeight="1">
      <c r="A2500" s="102"/>
      <c r="B2500" s="102"/>
      <c r="C2500" s="116"/>
      <c r="F2500" s="107"/>
      <c r="G2500" s="10"/>
      <c r="H2500" s="103"/>
      <c r="I2500" s="108">
        <f>Tableau3[[#This Row],[Stock final]]*Tableau3[[#This Row],[P.U.]]</f>
        <v>0</v>
      </c>
      <c r="J2500" s="184"/>
    </row>
    <row r="2501" spans="1:10" ht="19.350000000000001" customHeight="1">
      <c r="A2501" s="102"/>
      <c r="B2501" s="102"/>
      <c r="C2501" s="116"/>
      <c r="F2501" s="107"/>
      <c r="G2501" s="10"/>
      <c r="H2501" s="103"/>
      <c r="I2501" s="108">
        <f>Tableau3[[#This Row],[Stock final]]*Tableau3[[#This Row],[P.U.]]</f>
        <v>0</v>
      </c>
      <c r="J2501" s="184"/>
    </row>
    <row r="2502" spans="1:10" ht="19.350000000000001" customHeight="1">
      <c r="A2502" s="102"/>
      <c r="B2502" s="102"/>
      <c r="C2502" s="116"/>
      <c r="F2502" s="107"/>
      <c r="G2502" s="10"/>
      <c r="H2502" s="103"/>
      <c r="I2502" s="108">
        <f>Tableau3[[#This Row],[Stock final]]*Tableau3[[#This Row],[P.U.]]</f>
        <v>0</v>
      </c>
      <c r="J2502" s="184"/>
    </row>
    <row r="2503" spans="1:10" ht="19.350000000000001" customHeight="1">
      <c r="A2503" s="102"/>
      <c r="B2503" s="102"/>
      <c r="C2503" s="116"/>
      <c r="F2503" s="107"/>
      <c r="G2503" s="10"/>
      <c r="H2503" s="103"/>
      <c r="I2503" s="108">
        <f>Tableau3[[#This Row],[Stock final]]*Tableau3[[#This Row],[P.U.]]</f>
        <v>0</v>
      </c>
      <c r="J2503" s="184"/>
    </row>
    <row r="2504" spans="1:10" ht="19.350000000000001" customHeight="1">
      <c r="A2504" s="102"/>
      <c r="B2504" s="102"/>
      <c r="C2504" s="116"/>
      <c r="F2504" s="107"/>
      <c r="G2504" s="10"/>
      <c r="H2504" s="103"/>
      <c r="I2504" s="108">
        <f>Tableau3[[#This Row],[Stock final]]*Tableau3[[#This Row],[P.U.]]</f>
        <v>0</v>
      </c>
      <c r="J2504" s="184"/>
    </row>
    <row r="2505" spans="1:10" ht="19.350000000000001" customHeight="1">
      <c r="A2505" s="102"/>
      <c r="B2505" s="102"/>
      <c r="C2505" s="116"/>
      <c r="F2505" s="107"/>
      <c r="G2505" s="10"/>
      <c r="H2505" s="103"/>
      <c r="I2505" s="108">
        <f>Tableau3[[#This Row],[Stock final]]*Tableau3[[#This Row],[P.U.]]</f>
        <v>0</v>
      </c>
      <c r="J2505" s="184"/>
    </row>
    <row r="2506" spans="1:10" ht="19.350000000000001" customHeight="1">
      <c r="A2506" s="102"/>
      <c r="B2506" s="102"/>
      <c r="C2506" s="116"/>
      <c r="F2506" s="107"/>
      <c r="G2506" s="10"/>
      <c r="H2506" s="103"/>
      <c r="I2506" s="108">
        <f>Tableau3[[#This Row],[Stock final]]*Tableau3[[#This Row],[P.U.]]</f>
        <v>0</v>
      </c>
      <c r="J2506" s="184"/>
    </row>
    <row r="2507" spans="1:10" ht="19.350000000000001" customHeight="1">
      <c r="A2507" s="102"/>
      <c r="B2507" s="102"/>
      <c r="C2507" s="116"/>
      <c r="F2507" s="107"/>
      <c r="G2507" s="10"/>
      <c r="H2507" s="103"/>
      <c r="I2507" s="108">
        <f>Tableau3[[#This Row],[Stock final]]*Tableau3[[#This Row],[P.U.]]</f>
        <v>0</v>
      </c>
      <c r="J2507" s="184"/>
    </row>
    <row r="2508" spans="1:10" ht="19.350000000000001" customHeight="1">
      <c r="A2508" s="102"/>
      <c r="B2508" s="102"/>
      <c r="C2508" s="116"/>
      <c r="F2508" s="107"/>
      <c r="G2508" s="10"/>
      <c r="H2508" s="103"/>
      <c r="I2508" s="108">
        <f>Tableau3[[#This Row],[Stock final]]*Tableau3[[#This Row],[P.U.]]</f>
        <v>0</v>
      </c>
      <c r="J2508" s="184"/>
    </row>
    <row r="2509" spans="1:10" ht="19.350000000000001" customHeight="1">
      <c r="A2509" s="102"/>
      <c r="B2509" s="102"/>
      <c r="C2509" s="116"/>
      <c r="F2509" s="107"/>
      <c r="G2509" s="10"/>
      <c r="H2509" s="103"/>
      <c r="I2509" s="108">
        <f>Tableau3[[#This Row],[Stock final]]*Tableau3[[#This Row],[P.U.]]</f>
        <v>0</v>
      </c>
      <c r="J2509" s="184"/>
    </row>
    <row r="2510" spans="1:10" ht="19.350000000000001" customHeight="1">
      <c r="A2510" s="102"/>
      <c r="B2510" s="102"/>
      <c r="C2510" s="116"/>
      <c r="F2510" s="107"/>
      <c r="G2510" s="10"/>
      <c r="H2510" s="103"/>
      <c r="I2510" s="108">
        <f>Tableau3[[#This Row],[Stock final]]*Tableau3[[#This Row],[P.U.]]</f>
        <v>0</v>
      </c>
      <c r="J2510" s="184"/>
    </row>
    <row r="2511" spans="1:10" ht="19.350000000000001" customHeight="1">
      <c r="A2511" s="102"/>
      <c r="B2511" s="102"/>
      <c r="C2511" s="116"/>
      <c r="F2511" s="107"/>
      <c r="G2511" s="10"/>
      <c r="H2511" s="103"/>
      <c r="I2511" s="108">
        <f>Tableau3[[#This Row],[Stock final]]*Tableau3[[#This Row],[P.U.]]</f>
        <v>0</v>
      </c>
      <c r="J2511" s="184"/>
    </row>
    <row r="2512" spans="1:10" ht="19.350000000000001" customHeight="1">
      <c r="A2512" s="102"/>
      <c r="B2512" s="102"/>
      <c r="C2512" s="116"/>
      <c r="F2512" s="107"/>
      <c r="G2512" s="10"/>
      <c r="H2512" s="103"/>
      <c r="I2512" s="108">
        <f>Tableau3[[#This Row],[Stock final]]*Tableau3[[#This Row],[P.U.]]</f>
        <v>0</v>
      </c>
      <c r="J2512" s="184"/>
    </row>
    <row r="2513" spans="1:10" ht="19.350000000000001" customHeight="1">
      <c r="A2513" s="102"/>
      <c r="B2513" s="102"/>
      <c r="C2513" s="116"/>
      <c r="F2513" s="107"/>
      <c r="G2513" s="10"/>
      <c r="H2513" s="103"/>
      <c r="I2513" s="108">
        <f>Tableau3[[#This Row],[Stock final]]*Tableau3[[#This Row],[P.U.]]</f>
        <v>0</v>
      </c>
      <c r="J2513" s="184"/>
    </row>
    <row r="2514" spans="1:10" ht="19.350000000000001" customHeight="1">
      <c r="A2514" s="102"/>
      <c r="B2514" s="102"/>
      <c r="C2514" s="116"/>
      <c r="F2514" s="107"/>
      <c r="G2514" s="10"/>
      <c r="H2514" s="103"/>
      <c r="I2514" s="108">
        <f>Tableau3[[#This Row],[Stock final]]*Tableau3[[#This Row],[P.U.]]</f>
        <v>0</v>
      </c>
      <c r="J2514" s="184"/>
    </row>
    <row r="2515" spans="1:10" ht="19.350000000000001" customHeight="1">
      <c r="A2515" s="102"/>
      <c r="B2515" s="102"/>
      <c r="C2515" s="116"/>
      <c r="F2515" s="107"/>
      <c r="G2515" s="10"/>
      <c r="H2515" s="103"/>
      <c r="I2515" s="108">
        <f>Tableau3[[#This Row],[Stock final]]*Tableau3[[#This Row],[P.U.]]</f>
        <v>0</v>
      </c>
      <c r="J2515" s="184"/>
    </row>
    <row r="2516" spans="1:10" ht="19.350000000000001" customHeight="1">
      <c r="A2516" s="102"/>
      <c r="B2516" s="102"/>
      <c r="C2516" s="116"/>
      <c r="F2516" s="107"/>
      <c r="G2516" s="10"/>
      <c r="H2516" s="103"/>
      <c r="I2516" s="108">
        <f>Tableau3[[#This Row],[Stock final]]*Tableau3[[#This Row],[P.U.]]</f>
        <v>0</v>
      </c>
      <c r="J2516" s="184"/>
    </row>
    <row r="2517" spans="1:10" ht="19.350000000000001" customHeight="1">
      <c r="A2517" s="102"/>
      <c r="B2517" s="102"/>
      <c r="C2517" s="116"/>
      <c r="F2517" s="107"/>
      <c r="G2517" s="10"/>
      <c r="H2517" s="103"/>
      <c r="I2517" s="108">
        <f>Tableau3[[#This Row],[Stock final]]*Tableau3[[#This Row],[P.U.]]</f>
        <v>0</v>
      </c>
      <c r="J2517" s="184"/>
    </row>
    <row r="2518" spans="1:10" ht="19.350000000000001" customHeight="1">
      <c r="A2518" s="102"/>
      <c r="B2518" s="102"/>
      <c r="C2518" s="116"/>
      <c r="F2518" s="107"/>
      <c r="G2518" s="10"/>
      <c r="H2518" s="103"/>
      <c r="I2518" s="108">
        <f>Tableau3[[#This Row],[Stock final]]*Tableau3[[#This Row],[P.U.]]</f>
        <v>0</v>
      </c>
      <c r="J2518" s="184"/>
    </row>
    <row r="2519" spans="1:10" ht="19.350000000000001" customHeight="1">
      <c r="A2519" s="102"/>
      <c r="B2519" s="102"/>
      <c r="C2519" s="116"/>
      <c r="F2519" s="107"/>
      <c r="G2519" s="10"/>
      <c r="H2519" s="103"/>
      <c r="I2519" s="108">
        <f>Tableau3[[#This Row],[Stock final]]*Tableau3[[#This Row],[P.U.]]</f>
        <v>0</v>
      </c>
      <c r="J2519" s="184"/>
    </row>
    <row r="2520" spans="1:10" ht="19.350000000000001" customHeight="1">
      <c r="A2520" s="102"/>
      <c r="B2520" s="102"/>
      <c r="C2520" s="116"/>
      <c r="F2520" s="107"/>
      <c r="G2520" s="10"/>
      <c r="H2520" s="103"/>
      <c r="I2520" s="108">
        <f>Tableau3[[#This Row],[Stock final]]*Tableau3[[#This Row],[P.U.]]</f>
        <v>0</v>
      </c>
      <c r="J2520" s="184"/>
    </row>
    <row r="2521" spans="1:10" ht="19.350000000000001" customHeight="1">
      <c r="A2521" s="102"/>
      <c r="B2521" s="102"/>
      <c r="C2521" s="116"/>
      <c r="F2521" s="107"/>
      <c r="G2521" s="10"/>
      <c r="H2521" s="103"/>
      <c r="I2521" s="108">
        <f>Tableau3[[#This Row],[Stock final]]*Tableau3[[#This Row],[P.U.]]</f>
        <v>0</v>
      </c>
      <c r="J2521" s="184"/>
    </row>
    <row r="2522" spans="1:10" ht="19.350000000000001" customHeight="1">
      <c r="A2522" s="102"/>
      <c r="B2522" s="102"/>
      <c r="C2522" s="116"/>
      <c r="F2522" s="107"/>
      <c r="G2522" s="10"/>
      <c r="H2522" s="103"/>
      <c r="I2522" s="108">
        <f>Tableau3[[#This Row],[Stock final]]*Tableau3[[#This Row],[P.U.]]</f>
        <v>0</v>
      </c>
      <c r="J2522" s="184"/>
    </row>
    <row r="2523" spans="1:10" ht="19.350000000000001" customHeight="1">
      <c r="A2523" s="102"/>
      <c r="B2523" s="102"/>
      <c r="C2523" s="116"/>
      <c r="F2523" s="107"/>
      <c r="G2523" s="10"/>
      <c r="H2523" s="103"/>
      <c r="I2523" s="108">
        <f>Tableau3[[#This Row],[Stock final]]*Tableau3[[#This Row],[P.U.]]</f>
        <v>0</v>
      </c>
      <c r="J2523" s="184"/>
    </row>
    <row r="2524" spans="1:10" ht="19.350000000000001" customHeight="1">
      <c r="A2524" s="102"/>
      <c r="B2524" s="102"/>
      <c r="C2524" s="116"/>
      <c r="F2524" s="107"/>
      <c r="G2524" s="10"/>
      <c r="H2524" s="103"/>
      <c r="I2524" s="108">
        <f>Tableau3[[#This Row],[Stock final]]*Tableau3[[#This Row],[P.U.]]</f>
        <v>0</v>
      </c>
      <c r="J2524" s="184"/>
    </row>
    <row r="2525" spans="1:10" ht="19.350000000000001" customHeight="1">
      <c r="A2525" s="102"/>
      <c r="B2525" s="102"/>
      <c r="C2525" s="116"/>
      <c r="F2525" s="107"/>
      <c r="G2525" s="10"/>
      <c r="H2525" s="103"/>
      <c r="I2525" s="108">
        <f>Tableau3[[#This Row],[Stock final]]*Tableau3[[#This Row],[P.U.]]</f>
        <v>0</v>
      </c>
      <c r="J2525" s="184"/>
    </row>
    <row r="2526" spans="1:10" ht="19.350000000000001" customHeight="1">
      <c r="A2526" s="102"/>
      <c r="B2526" s="102"/>
      <c r="C2526" s="116"/>
      <c r="F2526" s="107"/>
      <c r="G2526" s="10"/>
      <c r="H2526" s="103"/>
      <c r="I2526" s="108">
        <f>Tableau3[[#This Row],[Stock final]]*Tableau3[[#This Row],[P.U.]]</f>
        <v>0</v>
      </c>
      <c r="J2526" s="184"/>
    </row>
    <row r="2527" spans="1:10" ht="19.350000000000001" customHeight="1">
      <c r="A2527" s="102"/>
      <c r="B2527" s="102"/>
      <c r="C2527" s="116"/>
      <c r="F2527" s="107"/>
      <c r="G2527" s="10"/>
      <c r="H2527" s="103"/>
      <c r="I2527" s="108">
        <f>Tableau3[[#This Row],[Stock final]]*Tableau3[[#This Row],[P.U.]]</f>
        <v>0</v>
      </c>
      <c r="J2527" s="184"/>
    </row>
    <row r="2528" spans="1:10" ht="19.350000000000001" customHeight="1">
      <c r="A2528" s="102"/>
      <c r="B2528" s="102"/>
      <c r="C2528" s="116"/>
      <c r="F2528" s="107"/>
      <c r="G2528" s="10"/>
      <c r="H2528" s="103"/>
      <c r="I2528" s="108">
        <f>Tableau3[[#This Row],[Stock final]]*Tableau3[[#This Row],[P.U.]]</f>
        <v>0</v>
      </c>
      <c r="J2528" s="184"/>
    </row>
    <row r="2529" spans="1:10" ht="19.350000000000001" customHeight="1">
      <c r="A2529" s="102"/>
      <c r="B2529" s="102"/>
      <c r="C2529" s="116"/>
      <c r="F2529" s="107"/>
      <c r="G2529" s="10"/>
      <c r="H2529" s="103"/>
      <c r="I2529" s="108">
        <f>Tableau3[[#This Row],[Stock final]]*Tableau3[[#This Row],[P.U.]]</f>
        <v>0</v>
      </c>
      <c r="J2529" s="184"/>
    </row>
    <row r="2530" spans="1:10" ht="19.350000000000001" customHeight="1">
      <c r="A2530" s="102"/>
      <c r="B2530" s="102"/>
      <c r="C2530" s="116"/>
      <c r="F2530" s="107"/>
      <c r="G2530" s="10"/>
      <c r="H2530" s="103"/>
      <c r="I2530" s="108">
        <f>Tableau3[[#This Row],[Stock final]]*Tableau3[[#This Row],[P.U.]]</f>
        <v>0</v>
      </c>
      <c r="J2530" s="184"/>
    </row>
    <row r="2531" spans="1:10" ht="19.350000000000001" customHeight="1">
      <c r="A2531" s="102"/>
      <c r="B2531" s="102"/>
      <c r="C2531" s="116"/>
      <c r="F2531" s="107"/>
      <c r="G2531" s="10"/>
      <c r="H2531" s="103"/>
      <c r="I2531" s="108">
        <f>Tableau3[[#This Row],[Stock final]]*Tableau3[[#This Row],[P.U.]]</f>
        <v>0</v>
      </c>
      <c r="J2531" s="184"/>
    </row>
    <row r="2532" spans="1:10" ht="19.350000000000001" customHeight="1">
      <c r="A2532" s="102"/>
      <c r="B2532" s="102"/>
      <c r="C2532" s="116"/>
      <c r="F2532" s="107"/>
      <c r="G2532" s="10"/>
      <c r="H2532" s="103"/>
      <c r="I2532" s="108">
        <f>Tableau3[[#This Row],[Stock final]]*Tableau3[[#This Row],[P.U.]]</f>
        <v>0</v>
      </c>
      <c r="J2532" s="184"/>
    </row>
    <row r="2533" spans="1:10" ht="19.350000000000001" customHeight="1">
      <c r="A2533" s="102"/>
      <c r="B2533" s="102"/>
      <c r="C2533" s="116"/>
      <c r="F2533" s="107"/>
      <c r="G2533" s="10"/>
      <c r="H2533" s="103"/>
      <c r="I2533" s="108">
        <f>Tableau3[[#This Row],[Stock final]]*Tableau3[[#This Row],[P.U.]]</f>
        <v>0</v>
      </c>
      <c r="J2533" s="184"/>
    </row>
    <row r="2534" spans="1:10" ht="19.350000000000001" customHeight="1">
      <c r="A2534" s="102"/>
      <c r="B2534" s="102"/>
      <c r="C2534" s="116"/>
      <c r="F2534" s="107"/>
      <c r="G2534" s="10"/>
      <c r="H2534" s="103"/>
      <c r="I2534" s="108">
        <f>Tableau3[[#This Row],[Stock final]]*Tableau3[[#This Row],[P.U.]]</f>
        <v>0</v>
      </c>
      <c r="J2534" s="184"/>
    </row>
    <row r="2535" spans="1:10" ht="19.350000000000001" customHeight="1">
      <c r="A2535" s="102"/>
      <c r="B2535" s="102"/>
      <c r="C2535" s="116"/>
      <c r="F2535" s="107"/>
      <c r="G2535" s="10"/>
      <c r="H2535" s="103"/>
      <c r="I2535" s="108">
        <f>Tableau3[[#This Row],[Stock final]]*Tableau3[[#This Row],[P.U.]]</f>
        <v>0</v>
      </c>
      <c r="J2535" s="184"/>
    </row>
    <row r="2536" spans="1:10" ht="19.350000000000001" customHeight="1">
      <c r="A2536" s="102"/>
      <c r="B2536" s="102"/>
      <c r="C2536" s="116"/>
      <c r="F2536" s="107"/>
      <c r="G2536" s="10"/>
      <c r="H2536" s="103"/>
      <c r="I2536" s="108">
        <f>Tableau3[[#This Row],[Stock final]]*Tableau3[[#This Row],[P.U.]]</f>
        <v>0</v>
      </c>
      <c r="J2536" s="184"/>
    </row>
    <row r="2537" spans="1:10" ht="19.350000000000001" customHeight="1">
      <c r="A2537" s="102"/>
      <c r="B2537" s="102"/>
      <c r="C2537" s="116"/>
      <c r="F2537" s="107"/>
      <c r="G2537" s="10"/>
      <c r="H2537" s="103"/>
      <c r="I2537" s="108">
        <f>Tableau3[[#This Row],[Stock final]]*Tableau3[[#This Row],[P.U.]]</f>
        <v>0</v>
      </c>
      <c r="J2537" s="184"/>
    </row>
    <row r="2538" spans="1:10" ht="19.350000000000001" customHeight="1">
      <c r="A2538" s="102"/>
      <c r="B2538" s="102"/>
      <c r="C2538" s="116"/>
      <c r="F2538" s="107"/>
      <c r="G2538" s="10"/>
      <c r="H2538" s="103"/>
      <c r="I2538" s="108">
        <f>Tableau3[[#This Row],[Stock final]]*Tableau3[[#This Row],[P.U.]]</f>
        <v>0</v>
      </c>
      <c r="J2538" s="184"/>
    </row>
    <row r="2539" spans="1:10" ht="19.350000000000001" customHeight="1">
      <c r="A2539" s="102"/>
      <c r="B2539" s="102"/>
      <c r="C2539" s="116"/>
      <c r="F2539" s="107"/>
      <c r="G2539" s="10"/>
      <c r="H2539" s="103"/>
      <c r="I2539" s="108">
        <f>Tableau3[[#This Row],[Stock final]]*Tableau3[[#This Row],[P.U.]]</f>
        <v>0</v>
      </c>
      <c r="J2539" s="184"/>
    </row>
    <row r="2540" spans="1:10" ht="19.350000000000001" customHeight="1">
      <c r="A2540" s="102"/>
      <c r="B2540" s="102"/>
      <c r="C2540" s="116"/>
      <c r="F2540" s="107"/>
      <c r="G2540" s="10"/>
      <c r="H2540" s="103"/>
      <c r="I2540" s="108">
        <f>Tableau3[[#This Row],[Stock final]]*Tableau3[[#This Row],[P.U.]]</f>
        <v>0</v>
      </c>
      <c r="J2540" s="184"/>
    </row>
    <row r="2541" spans="1:10" ht="19.350000000000001" customHeight="1">
      <c r="A2541" s="102"/>
      <c r="B2541" s="102"/>
      <c r="C2541" s="116"/>
      <c r="F2541" s="107"/>
      <c r="G2541" s="10"/>
      <c r="H2541" s="103"/>
      <c r="I2541" s="108">
        <f>Tableau3[[#This Row],[Stock final]]*Tableau3[[#This Row],[P.U.]]</f>
        <v>0</v>
      </c>
      <c r="J2541" s="184"/>
    </row>
    <row r="2542" spans="1:10" ht="19.350000000000001" customHeight="1">
      <c r="A2542" s="102"/>
      <c r="B2542" s="102"/>
      <c r="C2542" s="116"/>
      <c r="F2542" s="107"/>
      <c r="G2542" s="10"/>
      <c r="H2542" s="103"/>
      <c r="I2542" s="108">
        <f>Tableau3[[#This Row],[Stock final]]*Tableau3[[#This Row],[P.U.]]</f>
        <v>0</v>
      </c>
      <c r="J2542" s="184"/>
    </row>
    <row r="2543" spans="1:10" ht="19.350000000000001" customHeight="1">
      <c r="A2543" s="102"/>
      <c r="B2543" s="102"/>
      <c r="C2543" s="116"/>
      <c r="F2543" s="107"/>
      <c r="G2543" s="10"/>
      <c r="H2543" s="103"/>
      <c r="I2543" s="108">
        <f>Tableau3[[#This Row],[Stock final]]*Tableau3[[#This Row],[P.U.]]</f>
        <v>0</v>
      </c>
      <c r="J2543" s="184"/>
    </row>
    <row r="2544" spans="1:10" ht="19.350000000000001" customHeight="1">
      <c r="A2544" s="102"/>
      <c r="B2544" s="102"/>
      <c r="C2544" s="116"/>
      <c r="F2544" s="107"/>
      <c r="G2544" s="10"/>
      <c r="H2544" s="103"/>
      <c r="I2544" s="108">
        <f>Tableau3[[#This Row],[Stock final]]*Tableau3[[#This Row],[P.U.]]</f>
        <v>0</v>
      </c>
      <c r="J2544" s="184"/>
    </row>
    <row r="2545" spans="1:10" ht="19.350000000000001" customHeight="1">
      <c r="A2545" s="102"/>
      <c r="B2545" s="102"/>
      <c r="C2545" s="116"/>
      <c r="F2545" s="107"/>
      <c r="G2545" s="10"/>
      <c r="H2545" s="103"/>
      <c r="I2545" s="108">
        <f>Tableau3[[#This Row],[Stock final]]*Tableau3[[#This Row],[P.U.]]</f>
        <v>0</v>
      </c>
      <c r="J2545" s="184"/>
    </row>
    <row r="2546" spans="1:10" ht="19.350000000000001" customHeight="1">
      <c r="A2546" s="102"/>
      <c r="B2546" s="102"/>
      <c r="C2546" s="116"/>
      <c r="F2546" s="107"/>
      <c r="G2546" s="10"/>
      <c r="H2546" s="103"/>
      <c r="I2546" s="108">
        <f>Tableau3[[#This Row],[Stock final]]*Tableau3[[#This Row],[P.U.]]</f>
        <v>0</v>
      </c>
      <c r="J2546" s="184"/>
    </row>
    <row r="2547" spans="1:10" ht="19.350000000000001" customHeight="1">
      <c r="A2547" s="102"/>
      <c r="B2547" s="102"/>
      <c r="C2547" s="116"/>
      <c r="F2547" s="107"/>
      <c r="G2547" s="10"/>
      <c r="H2547" s="103"/>
      <c r="I2547" s="108">
        <f>Tableau3[[#This Row],[Stock final]]*Tableau3[[#This Row],[P.U.]]</f>
        <v>0</v>
      </c>
      <c r="J2547" s="184"/>
    </row>
    <row r="2548" spans="1:10" ht="19.350000000000001" customHeight="1">
      <c r="A2548" s="102"/>
      <c r="B2548" s="102"/>
      <c r="C2548" s="116"/>
      <c r="F2548" s="107"/>
      <c r="G2548" s="10"/>
      <c r="H2548" s="103"/>
      <c r="I2548" s="108">
        <f>Tableau3[[#This Row],[Stock final]]*Tableau3[[#This Row],[P.U.]]</f>
        <v>0</v>
      </c>
      <c r="J2548" s="184"/>
    </row>
    <row r="2549" spans="1:10" ht="19.350000000000001" customHeight="1">
      <c r="A2549" s="102"/>
      <c r="B2549" s="102"/>
      <c r="C2549" s="116"/>
      <c r="F2549" s="107"/>
      <c r="G2549" s="10"/>
      <c r="H2549" s="103"/>
      <c r="I2549" s="108">
        <f>Tableau3[[#This Row],[Stock final]]*Tableau3[[#This Row],[P.U.]]</f>
        <v>0</v>
      </c>
      <c r="J2549" s="184"/>
    </row>
    <row r="2550" spans="1:10" ht="19.350000000000001" customHeight="1">
      <c r="A2550" s="102"/>
      <c r="B2550" s="102"/>
      <c r="C2550" s="116"/>
      <c r="F2550" s="107"/>
      <c r="G2550" s="10"/>
      <c r="H2550" s="103"/>
      <c r="I2550" s="108">
        <f>Tableau3[[#This Row],[Stock final]]*Tableau3[[#This Row],[P.U.]]</f>
        <v>0</v>
      </c>
      <c r="J2550" s="184"/>
    </row>
    <row r="2551" spans="1:10" ht="19.350000000000001" customHeight="1">
      <c r="A2551" s="102"/>
      <c r="B2551" s="102"/>
      <c r="C2551" s="116"/>
      <c r="F2551" s="107"/>
      <c r="G2551" s="10"/>
      <c r="H2551" s="103"/>
      <c r="I2551" s="108">
        <f>Tableau3[[#This Row],[Stock final]]*Tableau3[[#This Row],[P.U.]]</f>
        <v>0</v>
      </c>
      <c r="J2551" s="184"/>
    </row>
    <row r="2552" spans="1:10" ht="19.350000000000001" customHeight="1">
      <c r="A2552" s="102"/>
      <c r="B2552" s="102"/>
      <c r="C2552" s="116"/>
      <c r="F2552" s="107"/>
      <c r="G2552" s="10"/>
      <c r="H2552" s="103"/>
      <c r="I2552" s="108">
        <f>Tableau3[[#This Row],[Stock final]]*Tableau3[[#This Row],[P.U.]]</f>
        <v>0</v>
      </c>
      <c r="J2552" s="184"/>
    </row>
    <row r="2553" spans="1:10" ht="19.350000000000001" customHeight="1">
      <c r="A2553" s="102"/>
      <c r="B2553" s="102"/>
      <c r="C2553" s="116"/>
      <c r="F2553" s="107"/>
      <c r="G2553" s="10"/>
      <c r="H2553" s="103"/>
      <c r="I2553" s="108">
        <f>Tableau3[[#This Row],[Stock final]]*Tableau3[[#This Row],[P.U.]]</f>
        <v>0</v>
      </c>
      <c r="J2553" s="184"/>
    </row>
    <row r="2554" spans="1:10" ht="19.350000000000001" customHeight="1">
      <c r="A2554" s="102"/>
      <c r="B2554" s="102"/>
      <c r="C2554" s="116"/>
      <c r="F2554" s="107"/>
      <c r="G2554" s="10"/>
      <c r="H2554" s="103"/>
      <c r="I2554" s="108">
        <f>Tableau3[[#This Row],[Stock final]]*Tableau3[[#This Row],[P.U.]]</f>
        <v>0</v>
      </c>
      <c r="J2554" s="184"/>
    </row>
    <row r="2555" spans="1:10" ht="19.350000000000001" customHeight="1">
      <c r="A2555" s="102"/>
      <c r="B2555" s="102"/>
      <c r="C2555" s="116"/>
      <c r="F2555" s="107"/>
      <c r="G2555" s="10"/>
      <c r="H2555" s="103"/>
      <c r="I2555" s="108">
        <f>Tableau3[[#This Row],[Stock final]]*Tableau3[[#This Row],[P.U.]]</f>
        <v>0</v>
      </c>
      <c r="J2555" s="184"/>
    </row>
    <row r="2556" spans="1:10" ht="19.350000000000001" customHeight="1">
      <c r="A2556" s="102"/>
      <c r="B2556" s="102"/>
      <c r="C2556" s="116"/>
      <c r="F2556" s="107"/>
      <c r="G2556" s="10"/>
      <c r="H2556" s="103"/>
      <c r="I2556" s="108">
        <f>Tableau3[[#This Row],[Stock final]]*Tableau3[[#This Row],[P.U.]]</f>
        <v>0</v>
      </c>
      <c r="J2556" s="184"/>
    </row>
    <row r="2557" spans="1:10" ht="19.350000000000001" customHeight="1">
      <c r="A2557" s="102"/>
      <c r="B2557" s="102"/>
      <c r="C2557" s="116"/>
      <c r="F2557" s="107"/>
      <c r="G2557" s="10"/>
      <c r="H2557" s="103"/>
      <c r="I2557" s="108">
        <f>Tableau3[[#This Row],[Stock final]]*Tableau3[[#This Row],[P.U.]]</f>
        <v>0</v>
      </c>
      <c r="J2557" s="184"/>
    </row>
    <row r="2558" spans="1:10" ht="19.350000000000001" customHeight="1">
      <c r="A2558" s="102"/>
      <c r="B2558" s="102"/>
      <c r="C2558" s="116"/>
      <c r="F2558" s="107"/>
      <c r="G2558" s="10"/>
      <c r="H2558" s="103"/>
      <c r="I2558" s="108">
        <f>Tableau3[[#This Row],[Stock final]]*Tableau3[[#This Row],[P.U.]]</f>
        <v>0</v>
      </c>
      <c r="J2558" s="184"/>
    </row>
    <row r="2559" spans="1:10" ht="19.350000000000001" customHeight="1">
      <c r="A2559" s="102"/>
      <c r="B2559" s="102"/>
      <c r="C2559" s="116"/>
      <c r="F2559" s="107"/>
      <c r="G2559" s="10"/>
      <c r="H2559" s="103"/>
      <c r="I2559" s="108">
        <f>Tableau3[[#This Row],[Stock final]]*Tableau3[[#This Row],[P.U.]]</f>
        <v>0</v>
      </c>
      <c r="J2559" s="184"/>
    </row>
    <row r="2560" spans="1:10" ht="19.350000000000001" customHeight="1">
      <c r="A2560" s="102"/>
      <c r="B2560" s="102"/>
      <c r="C2560" s="116"/>
      <c r="F2560" s="107"/>
      <c r="G2560" s="10"/>
      <c r="H2560" s="103"/>
      <c r="I2560" s="108">
        <f>Tableau3[[#This Row],[Stock final]]*Tableau3[[#This Row],[P.U.]]</f>
        <v>0</v>
      </c>
      <c r="J2560" s="184"/>
    </row>
    <row r="2561" spans="1:10" ht="19.350000000000001" customHeight="1">
      <c r="A2561" s="102"/>
      <c r="B2561" s="102"/>
      <c r="C2561" s="116"/>
      <c r="F2561" s="107"/>
      <c r="G2561" s="10"/>
      <c r="H2561" s="103"/>
      <c r="I2561" s="108">
        <f>Tableau3[[#This Row],[Stock final]]*Tableau3[[#This Row],[P.U.]]</f>
        <v>0</v>
      </c>
      <c r="J2561" s="184"/>
    </row>
    <row r="2562" spans="1:10" ht="19.350000000000001" customHeight="1">
      <c r="A2562" s="102"/>
      <c r="B2562" s="102"/>
      <c r="C2562" s="116"/>
      <c r="F2562" s="107"/>
      <c r="G2562" s="10"/>
      <c r="H2562" s="103"/>
      <c r="I2562" s="108">
        <f>Tableau3[[#This Row],[Stock final]]*Tableau3[[#This Row],[P.U.]]</f>
        <v>0</v>
      </c>
      <c r="J2562" s="184"/>
    </row>
    <row r="2563" spans="1:10" ht="19.350000000000001" customHeight="1">
      <c r="A2563" s="102"/>
      <c r="B2563" s="102"/>
      <c r="C2563" s="116"/>
      <c r="F2563" s="107"/>
      <c r="G2563" s="10"/>
      <c r="H2563" s="103"/>
      <c r="I2563" s="108">
        <f>Tableau3[[#This Row],[Stock final]]*Tableau3[[#This Row],[P.U.]]</f>
        <v>0</v>
      </c>
      <c r="J2563" s="184"/>
    </row>
    <row r="2564" spans="1:10" ht="19.350000000000001" customHeight="1">
      <c r="A2564" s="102"/>
      <c r="B2564" s="102"/>
      <c r="C2564" s="116"/>
      <c r="F2564" s="107"/>
      <c r="G2564" s="10"/>
      <c r="H2564" s="103"/>
      <c r="I2564" s="108">
        <f>Tableau3[[#This Row],[Stock final]]*Tableau3[[#This Row],[P.U.]]</f>
        <v>0</v>
      </c>
      <c r="J2564" s="184"/>
    </row>
    <row r="2565" spans="1:10" ht="19.350000000000001" customHeight="1">
      <c r="A2565" s="102"/>
      <c r="B2565" s="102"/>
      <c r="C2565" s="116"/>
      <c r="F2565" s="107"/>
      <c r="G2565" s="10"/>
      <c r="H2565" s="103"/>
      <c r="I2565" s="108">
        <f>Tableau3[[#This Row],[Stock final]]*Tableau3[[#This Row],[P.U.]]</f>
        <v>0</v>
      </c>
      <c r="J2565" s="184"/>
    </row>
    <row r="2566" spans="1:10" ht="19.350000000000001" customHeight="1">
      <c r="A2566" s="102"/>
      <c r="B2566" s="102"/>
      <c r="C2566" s="116"/>
      <c r="F2566" s="107"/>
      <c r="G2566" s="10"/>
      <c r="H2566" s="103"/>
      <c r="I2566" s="108">
        <f>Tableau3[[#This Row],[Stock final]]*Tableau3[[#This Row],[P.U.]]</f>
        <v>0</v>
      </c>
      <c r="J2566" s="184"/>
    </row>
    <row r="2567" spans="1:10" ht="19.350000000000001" customHeight="1">
      <c r="A2567" s="102"/>
      <c r="B2567" s="102"/>
      <c r="C2567" s="116"/>
      <c r="F2567" s="107"/>
      <c r="G2567" s="10"/>
      <c r="H2567" s="103"/>
      <c r="I2567" s="108">
        <f>Tableau3[[#This Row],[Stock final]]*Tableau3[[#This Row],[P.U.]]</f>
        <v>0</v>
      </c>
      <c r="J2567" s="184"/>
    </row>
    <row r="2568" spans="1:10" ht="19.350000000000001" customHeight="1">
      <c r="A2568" s="102"/>
      <c r="B2568" s="102"/>
      <c r="C2568" s="116"/>
      <c r="F2568" s="107"/>
      <c r="G2568" s="10"/>
      <c r="H2568" s="103"/>
      <c r="I2568" s="108">
        <f>Tableau3[[#This Row],[Stock final]]*Tableau3[[#This Row],[P.U.]]</f>
        <v>0</v>
      </c>
      <c r="J2568" s="184"/>
    </row>
    <row r="2569" spans="1:10" ht="19.350000000000001" customHeight="1">
      <c r="A2569" s="102"/>
      <c r="B2569" s="102"/>
      <c r="C2569" s="116"/>
      <c r="F2569" s="107"/>
      <c r="G2569" s="10"/>
      <c r="H2569" s="103"/>
      <c r="I2569" s="108">
        <f>Tableau3[[#This Row],[Stock final]]*Tableau3[[#This Row],[P.U.]]</f>
        <v>0</v>
      </c>
      <c r="J2569" s="184"/>
    </row>
    <row r="2570" spans="1:10" ht="19.350000000000001" customHeight="1">
      <c r="A2570" s="102"/>
      <c r="B2570" s="102"/>
      <c r="C2570" s="116"/>
      <c r="F2570" s="107"/>
      <c r="G2570" s="10"/>
      <c r="H2570" s="103"/>
      <c r="I2570" s="108">
        <f>Tableau3[[#This Row],[Stock final]]*Tableau3[[#This Row],[P.U.]]</f>
        <v>0</v>
      </c>
      <c r="J2570" s="184"/>
    </row>
    <row r="2571" spans="1:10" ht="19.350000000000001" customHeight="1">
      <c r="A2571" s="102"/>
      <c r="B2571" s="102"/>
      <c r="C2571" s="116"/>
      <c r="F2571" s="107"/>
      <c r="G2571" s="10"/>
      <c r="H2571" s="103"/>
      <c r="I2571" s="108">
        <f>Tableau3[[#This Row],[Stock final]]*Tableau3[[#This Row],[P.U.]]</f>
        <v>0</v>
      </c>
      <c r="J2571" s="184"/>
    </row>
    <row r="2572" spans="1:10" ht="19.350000000000001" customHeight="1">
      <c r="A2572" s="102"/>
      <c r="B2572" s="102"/>
      <c r="C2572" s="116"/>
      <c r="F2572" s="107"/>
      <c r="G2572" s="10"/>
      <c r="H2572" s="103"/>
      <c r="I2572" s="108">
        <f>Tableau3[[#This Row],[Stock final]]*Tableau3[[#This Row],[P.U.]]</f>
        <v>0</v>
      </c>
      <c r="J2572" s="184"/>
    </row>
    <row r="2573" spans="1:10" ht="19.350000000000001" customHeight="1">
      <c r="A2573" s="102"/>
      <c r="B2573" s="102"/>
      <c r="C2573" s="116"/>
      <c r="F2573" s="107"/>
      <c r="G2573" s="10"/>
      <c r="H2573" s="103"/>
      <c r="I2573" s="108">
        <f>Tableau3[[#This Row],[Stock final]]*Tableau3[[#This Row],[P.U.]]</f>
        <v>0</v>
      </c>
      <c r="J2573" s="184"/>
    </row>
    <row r="2574" spans="1:10" ht="19.350000000000001" customHeight="1">
      <c r="A2574" s="102"/>
      <c r="B2574" s="102"/>
      <c r="C2574" s="116"/>
      <c r="F2574" s="107"/>
      <c r="G2574" s="10"/>
      <c r="H2574" s="103"/>
      <c r="I2574" s="108">
        <f>Tableau3[[#This Row],[Stock final]]*Tableau3[[#This Row],[P.U.]]</f>
        <v>0</v>
      </c>
      <c r="J2574" s="184"/>
    </row>
    <row r="2575" spans="1:10" ht="19.350000000000001" customHeight="1">
      <c r="A2575" s="102"/>
      <c r="B2575" s="102"/>
      <c r="C2575" s="116"/>
      <c r="F2575" s="107"/>
      <c r="G2575" s="10"/>
      <c r="H2575" s="103"/>
      <c r="I2575" s="108">
        <f>Tableau3[[#This Row],[Stock final]]*Tableau3[[#This Row],[P.U.]]</f>
        <v>0</v>
      </c>
      <c r="J2575" s="184"/>
    </row>
    <row r="2576" spans="1:10" ht="19.350000000000001" customHeight="1">
      <c r="A2576" s="102"/>
      <c r="B2576" s="102"/>
      <c r="C2576" s="116"/>
      <c r="F2576" s="107"/>
      <c r="G2576" s="10"/>
      <c r="H2576" s="103"/>
      <c r="I2576" s="108">
        <f>Tableau3[[#This Row],[Stock final]]*Tableau3[[#This Row],[P.U.]]</f>
        <v>0</v>
      </c>
      <c r="J2576" s="184"/>
    </row>
    <row r="2577" spans="1:10" ht="19.350000000000001" customHeight="1">
      <c r="A2577" s="102"/>
      <c r="B2577" s="102"/>
      <c r="C2577" s="116"/>
      <c r="F2577" s="107"/>
      <c r="G2577" s="10"/>
      <c r="H2577" s="103"/>
      <c r="I2577" s="108">
        <f>Tableau3[[#This Row],[Stock final]]*Tableau3[[#This Row],[P.U.]]</f>
        <v>0</v>
      </c>
      <c r="J2577" s="184"/>
    </row>
    <row r="2578" spans="1:10" ht="19.350000000000001" customHeight="1">
      <c r="A2578" s="102"/>
      <c r="B2578" s="102"/>
      <c r="C2578" s="116"/>
      <c r="F2578" s="107"/>
      <c r="G2578" s="10"/>
      <c r="H2578" s="103"/>
      <c r="I2578" s="108">
        <f>Tableau3[[#This Row],[Stock final]]*Tableau3[[#This Row],[P.U.]]</f>
        <v>0</v>
      </c>
      <c r="J2578" s="184"/>
    </row>
    <row r="2579" spans="1:10" ht="19.350000000000001" customHeight="1">
      <c r="A2579" s="102"/>
      <c r="B2579" s="102"/>
      <c r="C2579" s="116"/>
      <c r="F2579" s="107"/>
      <c r="G2579" s="10"/>
      <c r="H2579" s="103"/>
      <c r="I2579" s="108">
        <f>Tableau3[[#This Row],[Stock final]]*Tableau3[[#This Row],[P.U.]]</f>
        <v>0</v>
      </c>
      <c r="J2579" s="184"/>
    </row>
    <row r="2580" spans="1:10" ht="19.350000000000001" customHeight="1">
      <c r="A2580" s="102"/>
      <c r="B2580" s="102"/>
      <c r="C2580" s="116"/>
      <c r="F2580" s="107"/>
      <c r="G2580" s="10"/>
      <c r="H2580" s="103"/>
      <c r="I2580" s="108">
        <f>Tableau3[[#This Row],[Stock final]]*Tableau3[[#This Row],[P.U.]]</f>
        <v>0</v>
      </c>
      <c r="J2580" s="184"/>
    </row>
    <row r="2581" spans="1:10" ht="19.350000000000001" customHeight="1">
      <c r="A2581" s="102"/>
      <c r="B2581" s="102"/>
      <c r="C2581" s="116"/>
      <c r="F2581" s="107"/>
      <c r="G2581" s="10"/>
      <c r="H2581" s="103"/>
      <c r="I2581" s="108">
        <f>Tableau3[[#This Row],[Stock final]]*Tableau3[[#This Row],[P.U.]]</f>
        <v>0</v>
      </c>
      <c r="J2581" s="184"/>
    </row>
    <row r="2582" spans="1:10" ht="19.350000000000001" customHeight="1">
      <c r="A2582" s="102"/>
      <c r="B2582" s="102"/>
      <c r="C2582" s="116"/>
      <c r="F2582" s="107"/>
      <c r="G2582" s="10"/>
      <c r="H2582" s="103"/>
      <c r="I2582" s="108">
        <f>Tableau3[[#This Row],[Stock final]]*Tableau3[[#This Row],[P.U.]]</f>
        <v>0</v>
      </c>
      <c r="J2582" s="184"/>
    </row>
    <row r="2583" spans="1:10" ht="19.350000000000001" customHeight="1">
      <c r="A2583" s="102"/>
      <c r="B2583" s="102"/>
      <c r="C2583" s="116"/>
      <c r="F2583" s="107"/>
      <c r="G2583" s="10"/>
      <c r="H2583" s="103"/>
      <c r="I2583" s="108">
        <f>Tableau3[[#This Row],[Stock final]]*Tableau3[[#This Row],[P.U.]]</f>
        <v>0</v>
      </c>
      <c r="J2583" s="184"/>
    </row>
    <row r="2584" spans="1:10" ht="19.350000000000001" customHeight="1">
      <c r="A2584" s="102"/>
      <c r="B2584" s="102"/>
      <c r="C2584" s="116"/>
      <c r="F2584" s="107"/>
      <c r="G2584" s="10"/>
      <c r="H2584" s="103"/>
      <c r="I2584" s="108">
        <f>Tableau3[[#This Row],[Stock final]]*Tableau3[[#This Row],[P.U.]]</f>
        <v>0</v>
      </c>
      <c r="J2584" s="184"/>
    </row>
    <row r="2585" spans="1:10" ht="19.350000000000001" customHeight="1">
      <c r="A2585" s="102"/>
      <c r="B2585" s="102"/>
      <c r="C2585" s="116"/>
      <c r="F2585" s="107"/>
      <c r="G2585" s="10"/>
      <c r="H2585" s="103"/>
      <c r="I2585" s="108">
        <f>Tableau3[[#This Row],[Stock final]]*Tableau3[[#This Row],[P.U.]]</f>
        <v>0</v>
      </c>
      <c r="J2585" s="184"/>
    </row>
    <row r="2586" spans="1:10" ht="19.350000000000001" customHeight="1">
      <c r="A2586" s="102"/>
      <c r="B2586" s="102"/>
      <c r="C2586" s="116"/>
      <c r="F2586" s="107"/>
      <c r="G2586" s="10"/>
      <c r="H2586" s="103"/>
      <c r="I2586" s="108">
        <f>Tableau3[[#This Row],[Stock final]]*Tableau3[[#This Row],[P.U.]]</f>
        <v>0</v>
      </c>
      <c r="J2586" s="184"/>
    </row>
    <row r="2587" spans="1:10" ht="19.350000000000001" customHeight="1">
      <c r="A2587" s="102"/>
      <c r="B2587" s="102"/>
      <c r="C2587" s="116"/>
      <c r="F2587" s="107"/>
      <c r="G2587" s="10"/>
      <c r="H2587" s="103"/>
      <c r="I2587" s="108">
        <f>Tableau3[[#This Row],[Stock final]]*Tableau3[[#This Row],[P.U.]]</f>
        <v>0</v>
      </c>
      <c r="J2587" s="184"/>
    </row>
    <row r="2588" spans="1:10" ht="19.350000000000001" customHeight="1">
      <c r="A2588" s="102"/>
      <c r="B2588" s="102"/>
      <c r="C2588" s="116"/>
      <c r="F2588" s="107"/>
      <c r="G2588" s="10"/>
      <c r="H2588" s="103"/>
      <c r="I2588" s="108">
        <f>Tableau3[[#This Row],[Stock final]]*Tableau3[[#This Row],[P.U.]]</f>
        <v>0</v>
      </c>
      <c r="J2588" s="184"/>
    </row>
    <row r="2589" spans="1:10" ht="19.350000000000001" customHeight="1">
      <c r="A2589" s="102"/>
      <c r="B2589" s="102"/>
      <c r="C2589" s="116"/>
      <c r="F2589" s="107"/>
      <c r="G2589" s="10"/>
      <c r="H2589" s="103"/>
      <c r="I2589" s="108">
        <f>Tableau3[[#This Row],[Stock final]]*Tableau3[[#This Row],[P.U.]]</f>
        <v>0</v>
      </c>
      <c r="J2589" s="184"/>
    </row>
    <row r="2590" spans="1:10" ht="19.350000000000001" customHeight="1">
      <c r="A2590" s="102"/>
      <c r="B2590" s="102"/>
      <c r="C2590" s="116"/>
      <c r="F2590" s="107"/>
      <c r="G2590" s="10"/>
      <c r="H2590" s="103"/>
      <c r="I2590" s="108">
        <f>Tableau3[[#This Row],[Stock final]]*Tableau3[[#This Row],[P.U.]]</f>
        <v>0</v>
      </c>
      <c r="J2590" s="184"/>
    </row>
    <row r="2591" spans="1:10" ht="19.350000000000001" customHeight="1">
      <c r="A2591" s="102"/>
      <c r="B2591" s="102"/>
      <c r="C2591" s="116"/>
      <c r="F2591" s="107"/>
      <c r="G2591" s="10"/>
      <c r="H2591" s="103"/>
      <c r="I2591" s="108">
        <f>Tableau3[[#This Row],[Stock final]]*Tableau3[[#This Row],[P.U.]]</f>
        <v>0</v>
      </c>
      <c r="J2591" s="184"/>
    </row>
    <row r="2592" spans="1:10" ht="19.350000000000001" customHeight="1">
      <c r="A2592" s="102"/>
      <c r="B2592" s="102"/>
      <c r="C2592" s="116"/>
      <c r="F2592" s="107"/>
      <c r="G2592" s="10"/>
      <c r="H2592" s="103"/>
      <c r="I2592" s="108">
        <f>Tableau3[[#This Row],[Stock final]]*Tableau3[[#This Row],[P.U.]]</f>
        <v>0</v>
      </c>
      <c r="J2592" s="184"/>
    </row>
    <row r="2593" spans="1:10" ht="19.350000000000001" customHeight="1">
      <c r="A2593" s="102"/>
      <c r="B2593" s="102"/>
      <c r="C2593" s="116"/>
      <c r="F2593" s="107"/>
      <c r="G2593" s="10"/>
      <c r="H2593" s="103"/>
      <c r="I2593" s="108">
        <f>Tableau3[[#This Row],[Stock final]]*Tableau3[[#This Row],[P.U.]]</f>
        <v>0</v>
      </c>
      <c r="J2593" s="184"/>
    </row>
    <row r="2594" spans="1:10" ht="19.350000000000001" customHeight="1">
      <c r="A2594" s="102"/>
      <c r="B2594" s="102"/>
      <c r="C2594" s="116"/>
      <c r="F2594" s="107"/>
      <c r="G2594" s="10"/>
      <c r="H2594" s="103"/>
      <c r="I2594" s="108">
        <f>Tableau3[[#This Row],[Stock final]]*Tableau3[[#This Row],[P.U.]]</f>
        <v>0</v>
      </c>
      <c r="J2594" s="184"/>
    </row>
    <row r="2595" spans="1:10" ht="19.350000000000001" customHeight="1">
      <c r="A2595" s="102"/>
      <c r="B2595" s="102"/>
      <c r="C2595" s="116"/>
      <c r="F2595" s="107"/>
      <c r="G2595" s="10"/>
      <c r="H2595" s="103"/>
      <c r="I2595" s="108">
        <f>Tableau3[[#This Row],[Stock final]]*Tableau3[[#This Row],[P.U.]]</f>
        <v>0</v>
      </c>
      <c r="J2595" s="184"/>
    </row>
    <row r="2596" spans="1:10" ht="19.350000000000001" customHeight="1">
      <c r="A2596" s="102"/>
      <c r="B2596" s="102"/>
      <c r="C2596" s="116"/>
      <c r="F2596" s="107"/>
      <c r="G2596" s="10"/>
      <c r="H2596" s="103"/>
      <c r="I2596" s="108">
        <f>Tableau3[[#This Row],[Stock final]]*Tableau3[[#This Row],[P.U.]]</f>
        <v>0</v>
      </c>
      <c r="J2596" s="184"/>
    </row>
    <row r="2597" spans="1:10" ht="19.350000000000001" customHeight="1">
      <c r="A2597" s="102"/>
      <c r="B2597" s="102"/>
      <c r="C2597" s="116"/>
      <c r="F2597" s="107"/>
      <c r="G2597" s="10"/>
      <c r="H2597" s="103"/>
      <c r="I2597" s="108">
        <f>Tableau3[[#This Row],[Stock final]]*Tableau3[[#This Row],[P.U.]]</f>
        <v>0</v>
      </c>
      <c r="J2597" s="184"/>
    </row>
    <row r="2598" spans="1:10" ht="19.350000000000001" customHeight="1">
      <c r="A2598" s="102"/>
      <c r="B2598" s="102"/>
      <c r="C2598" s="116"/>
      <c r="F2598" s="107"/>
      <c r="G2598" s="10"/>
      <c r="H2598" s="103"/>
      <c r="I2598" s="108">
        <f>Tableau3[[#This Row],[Stock final]]*Tableau3[[#This Row],[P.U.]]</f>
        <v>0</v>
      </c>
      <c r="J2598" s="184"/>
    </row>
    <row r="2599" spans="1:10" ht="19.350000000000001" customHeight="1">
      <c r="A2599" s="102"/>
      <c r="B2599" s="102"/>
      <c r="C2599" s="116"/>
      <c r="F2599" s="107"/>
      <c r="G2599" s="10"/>
      <c r="H2599" s="103"/>
      <c r="I2599" s="108">
        <f>Tableau3[[#This Row],[Stock final]]*Tableau3[[#This Row],[P.U.]]</f>
        <v>0</v>
      </c>
      <c r="J2599" s="184"/>
    </row>
    <row r="2600" spans="1:10" ht="19.350000000000001" customHeight="1">
      <c r="A2600" s="102"/>
      <c r="B2600" s="102"/>
      <c r="C2600" s="116"/>
      <c r="F2600" s="107"/>
      <c r="G2600" s="10"/>
      <c r="H2600" s="103"/>
      <c r="I2600" s="108">
        <f>Tableau3[[#This Row],[Stock final]]*Tableau3[[#This Row],[P.U.]]</f>
        <v>0</v>
      </c>
      <c r="J2600" s="184"/>
    </row>
    <row r="2601" spans="1:10" ht="19.350000000000001" customHeight="1">
      <c r="A2601" s="102"/>
      <c r="B2601" s="102"/>
      <c r="C2601" s="116"/>
      <c r="F2601" s="107"/>
      <c r="G2601" s="10"/>
      <c r="H2601" s="103"/>
      <c r="I2601" s="108">
        <f>Tableau3[[#This Row],[Stock final]]*Tableau3[[#This Row],[P.U.]]</f>
        <v>0</v>
      </c>
      <c r="J2601" s="184"/>
    </row>
    <row r="2602" spans="1:10" ht="19.350000000000001" customHeight="1">
      <c r="A2602" s="102"/>
      <c r="B2602" s="102"/>
      <c r="C2602" s="116"/>
      <c r="F2602" s="107"/>
      <c r="G2602" s="10"/>
      <c r="H2602" s="103"/>
      <c r="I2602" s="108">
        <f>Tableau3[[#This Row],[Stock final]]*Tableau3[[#This Row],[P.U.]]</f>
        <v>0</v>
      </c>
      <c r="J2602" s="184"/>
    </row>
    <row r="2603" spans="1:10" ht="19.350000000000001" customHeight="1">
      <c r="A2603" s="102"/>
      <c r="B2603" s="102"/>
      <c r="C2603" s="116"/>
      <c r="F2603" s="107"/>
      <c r="G2603" s="10"/>
      <c r="H2603" s="103"/>
      <c r="I2603" s="108">
        <f>Tableau3[[#This Row],[Stock final]]*Tableau3[[#This Row],[P.U.]]</f>
        <v>0</v>
      </c>
      <c r="J2603" s="184"/>
    </row>
    <row r="2604" spans="1:10" ht="19.350000000000001" customHeight="1">
      <c r="A2604" s="102"/>
      <c r="B2604" s="102"/>
      <c r="C2604" s="116"/>
      <c r="F2604" s="107"/>
      <c r="G2604" s="10"/>
      <c r="H2604" s="103"/>
      <c r="I2604" s="108">
        <f>Tableau3[[#This Row],[Stock final]]*Tableau3[[#This Row],[P.U.]]</f>
        <v>0</v>
      </c>
      <c r="J2604" s="184"/>
    </row>
    <row r="2605" spans="1:10" ht="19.350000000000001" customHeight="1">
      <c r="A2605" s="102"/>
      <c r="B2605" s="102"/>
      <c r="C2605" s="116"/>
      <c r="F2605" s="107"/>
      <c r="G2605" s="10"/>
      <c r="H2605" s="103"/>
      <c r="I2605" s="108">
        <f>Tableau3[[#This Row],[Stock final]]*Tableau3[[#This Row],[P.U.]]</f>
        <v>0</v>
      </c>
      <c r="J2605" s="184"/>
    </row>
    <row r="2606" spans="1:10" ht="19.350000000000001" customHeight="1">
      <c r="A2606" s="102"/>
      <c r="B2606" s="102"/>
      <c r="C2606" s="116"/>
      <c r="F2606" s="107"/>
      <c r="G2606" s="10"/>
      <c r="H2606" s="103"/>
      <c r="I2606" s="108">
        <f>Tableau3[[#This Row],[Stock final]]*Tableau3[[#This Row],[P.U.]]</f>
        <v>0</v>
      </c>
      <c r="J2606" s="184"/>
    </row>
    <row r="2607" spans="1:10" ht="19.350000000000001" customHeight="1">
      <c r="A2607" s="102"/>
      <c r="B2607" s="102"/>
      <c r="C2607" s="116"/>
      <c r="F2607" s="107"/>
      <c r="G2607" s="10"/>
      <c r="H2607" s="103"/>
      <c r="I2607" s="108">
        <f>Tableau3[[#This Row],[Stock final]]*Tableau3[[#This Row],[P.U.]]</f>
        <v>0</v>
      </c>
      <c r="J2607" s="184"/>
    </row>
    <row r="2608" spans="1:10" ht="19.350000000000001" customHeight="1">
      <c r="A2608" s="102"/>
      <c r="B2608" s="102"/>
      <c r="C2608" s="116"/>
      <c r="F2608" s="107"/>
      <c r="G2608" s="10"/>
      <c r="H2608" s="103"/>
      <c r="I2608" s="108">
        <f>Tableau3[[#This Row],[Stock final]]*Tableau3[[#This Row],[P.U.]]</f>
        <v>0</v>
      </c>
      <c r="J2608" s="184"/>
    </row>
    <row r="2609" spans="1:10" ht="19.350000000000001" customHeight="1">
      <c r="A2609" s="102"/>
      <c r="B2609" s="102"/>
      <c r="C2609" s="116"/>
      <c r="F2609" s="107"/>
      <c r="G2609" s="10"/>
      <c r="H2609" s="103"/>
      <c r="I2609" s="108">
        <f>Tableau3[[#This Row],[Stock final]]*Tableau3[[#This Row],[P.U.]]</f>
        <v>0</v>
      </c>
      <c r="J2609" s="184"/>
    </row>
    <row r="2610" spans="1:10" ht="19.350000000000001" customHeight="1">
      <c r="A2610" s="102"/>
      <c r="B2610" s="102"/>
      <c r="C2610" s="116"/>
      <c r="F2610" s="107"/>
      <c r="G2610" s="10"/>
      <c r="H2610" s="103"/>
      <c r="I2610" s="108">
        <f>Tableau3[[#This Row],[Stock final]]*Tableau3[[#This Row],[P.U.]]</f>
        <v>0</v>
      </c>
      <c r="J2610" s="184"/>
    </row>
    <row r="2611" spans="1:10" ht="19.350000000000001" customHeight="1">
      <c r="A2611" s="102"/>
      <c r="B2611" s="102"/>
      <c r="C2611" s="116"/>
      <c r="F2611" s="107"/>
      <c r="G2611" s="10"/>
      <c r="H2611" s="103"/>
      <c r="I2611" s="108">
        <f>Tableau3[[#This Row],[Stock final]]*Tableau3[[#This Row],[P.U.]]</f>
        <v>0</v>
      </c>
      <c r="J2611" s="184"/>
    </row>
    <row r="2612" spans="1:10" ht="19.350000000000001" customHeight="1">
      <c r="A2612" s="102"/>
      <c r="B2612" s="102"/>
      <c r="C2612" s="116"/>
      <c r="F2612" s="107"/>
      <c r="G2612" s="10"/>
      <c r="H2612" s="103"/>
      <c r="I2612" s="108">
        <f>Tableau3[[#This Row],[Stock final]]*Tableau3[[#This Row],[P.U.]]</f>
        <v>0</v>
      </c>
      <c r="J2612" s="184"/>
    </row>
    <row r="2613" spans="1:10" ht="19.350000000000001" customHeight="1">
      <c r="A2613" s="102"/>
      <c r="B2613" s="102"/>
      <c r="C2613" s="116"/>
      <c r="F2613" s="107"/>
      <c r="G2613" s="10"/>
      <c r="H2613" s="103"/>
      <c r="I2613" s="108">
        <f>Tableau3[[#This Row],[Stock final]]*Tableau3[[#This Row],[P.U.]]</f>
        <v>0</v>
      </c>
      <c r="J2613" s="184"/>
    </row>
    <row r="2614" spans="1:10" ht="19.350000000000001" customHeight="1">
      <c r="A2614" s="102"/>
      <c r="B2614" s="102"/>
      <c r="C2614" s="116"/>
      <c r="F2614" s="107"/>
      <c r="G2614" s="10"/>
      <c r="H2614" s="103"/>
      <c r="I2614" s="108">
        <f>Tableau3[[#This Row],[Stock final]]*Tableau3[[#This Row],[P.U.]]</f>
        <v>0</v>
      </c>
      <c r="J2614" s="184"/>
    </row>
    <row r="2615" spans="1:10" ht="19.350000000000001" customHeight="1">
      <c r="A2615" s="102"/>
      <c r="B2615" s="102"/>
      <c r="C2615" s="116"/>
      <c r="F2615" s="107"/>
      <c r="G2615" s="10"/>
      <c r="H2615" s="103"/>
      <c r="I2615" s="108">
        <f>Tableau3[[#This Row],[Stock final]]*Tableau3[[#This Row],[P.U.]]</f>
        <v>0</v>
      </c>
      <c r="J2615" s="184"/>
    </row>
    <row r="2616" spans="1:10" ht="19.350000000000001" customHeight="1">
      <c r="A2616" s="102"/>
      <c r="B2616" s="102"/>
      <c r="C2616" s="116"/>
      <c r="F2616" s="107"/>
      <c r="G2616" s="10"/>
      <c r="H2616" s="103"/>
      <c r="I2616" s="108">
        <f>Tableau3[[#This Row],[Stock final]]*Tableau3[[#This Row],[P.U.]]</f>
        <v>0</v>
      </c>
      <c r="J2616" s="184"/>
    </row>
    <row r="2617" spans="1:10" ht="19.350000000000001" customHeight="1">
      <c r="A2617" s="102"/>
      <c r="B2617" s="102"/>
      <c r="C2617" s="116"/>
      <c r="F2617" s="107"/>
      <c r="G2617" s="10"/>
      <c r="H2617" s="103"/>
      <c r="I2617" s="108">
        <f>Tableau3[[#This Row],[Stock final]]*Tableau3[[#This Row],[P.U.]]</f>
        <v>0</v>
      </c>
      <c r="J2617" s="184"/>
    </row>
    <row r="2618" spans="1:10" ht="19.350000000000001" customHeight="1">
      <c r="A2618" s="102"/>
      <c r="B2618" s="102"/>
      <c r="C2618" s="116"/>
      <c r="F2618" s="107"/>
      <c r="G2618" s="10"/>
      <c r="H2618" s="103"/>
      <c r="I2618" s="108">
        <f>Tableau3[[#This Row],[Stock final]]*Tableau3[[#This Row],[P.U.]]</f>
        <v>0</v>
      </c>
      <c r="J2618" s="184"/>
    </row>
    <row r="2619" spans="1:10" ht="19.350000000000001" customHeight="1">
      <c r="A2619" s="102"/>
      <c r="B2619" s="102"/>
      <c r="C2619" s="116"/>
      <c r="F2619" s="107"/>
      <c r="G2619" s="10"/>
      <c r="H2619" s="103"/>
      <c r="I2619" s="108">
        <f>Tableau3[[#This Row],[Stock final]]*Tableau3[[#This Row],[P.U.]]</f>
        <v>0</v>
      </c>
      <c r="J2619" s="184"/>
    </row>
    <row r="2620" spans="1:10" ht="19.350000000000001" customHeight="1">
      <c r="A2620" s="102"/>
      <c r="B2620" s="102"/>
      <c r="C2620" s="116"/>
      <c r="F2620" s="107"/>
      <c r="G2620" s="10"/>
      <c r="H2620" s="103"/>
      <c r="I2620" s="108">
        <f>Tableau3[[#This Row],[Stock final]]*Tableau3[[#This Row],[P.U.]]</f>
        <v>0</v>
      </c>
      <c r="J2620" s="184"/>
    </row>
    <row r="2621" spans="1:10" ht="19.350000000000001" customHeight="1">
      <c r="A2621" s="102"/>
      <c r="B2621" s="102"/>
      <c r="C2621" s="116"/>
      <c r="F2621" s="107"/>
      <c r="G2621" s="10"/>
      <c r="H2621" s="103"/>
      <c r="I2621" s="108">
        <f>Tableau3[[#This Row],[Stock final]]*Tableau3[[#This Row],[P.U.]]</f>
        <v>0</v>
      </c>
      <c r="J2621" s="184"/>
    </row>
    <row r="2622" spans="1:10" ht="19.350000000000001" customHeight="1">
      <c r="A2622" s="102"/>
      <c r="B2622" s="102"/>
      <c r="C2622" s="116"/>
      <c r="F2622" s="107"/>
      <c r="G2622" s="10"/>
      <c r="H2622" s="103"/>
      <c r="I2622" s="108">
        <f>Tableau3[[#This Row],[Stock final]]*Tableau3[[#This Row],[P.U.]]</f>
        <v>0</v>
      </c>
      <c r="J2622" s="184"/>
    </row>
    <row r="2623" spans="1:10" ht="19.350000000000001" customHeight="1">
      <c r="A2623" s="102"/>
      <c r="B2623" s="102"/>
      <c r="C2623" s="116"/>
      <c r="F2623" s="107"/>
      <c r="G2623" s="10"/>
      <c r="H2623" s="103"/>
      <c r="I2623" s="108">
        <f>Tableau3[[#This Row],[Stock final]]*Tableau3[[#This Row],[P.U.]]</f>
        <v>0</v>
      </c>
      <c r="J2623" s="184"/>
    </row>
    <row r="2624" spans="1:10" ht="19.350000000000001" customHeight="1">
      <c r="A2624" s="102"/>
      <c r="B2624" s="102"/>
      <c r="C2624" s="116"/>
      <c r="F2624" s="107"/>
      <c r="G2624" s="10"/>
      <c r="H2624" s="103"/>
      <c r="I2624" s="108">
        <f>Tableau3[[#This Row],[Stock final]]*Tableau3[[#This Row],[P.U.]]</f>
        <v>0</v>
      </c>
      <c r="J2624" s="184"/>
    </row>
    <row r="2625" spans="1:10" ht="19.350000000000001" customHeight="1">
      <c r="A2625" s="102"/>
      <c r="B2625" s="102"/>
      <c r="C2625" s="116"/>
      <c r="F2625" s="107"/>
      <c r="G2625" s="10"/>
      <c r="H2625" s="103"/>
      <c r="I2625" s="108">
        <f>Tableau3[[#This Row],[Stock final]]*Tableau3[[#This Row],[P.U.]]</f>
        <v>0</v>
      </c>
      <c r="J2625" s="184"/>
    </row>
    <row r="2626" spans="1:10" ht="19.350000000000001" customHeight="1">
      <c r="A2626" s="102"/>
      <c r="B2626" s="102"/>
      <c r="C2626" s="116"/>
      <c r="F2626" s="107"/>
      <c r="G2626" s="10"/>
      <c r="H2626" s="103"/>
      <c r="I2626" s="108">
        <f>Tableau3[[#This Row],[Stock final]]*Tableau3[[#This Row],[P.U.]]</f>
        <v>0</v>
      </c>
      <c r="J2626" s="184"/>
    </row>
    <row r="2627" spans="1:10" ht="19.350000000000001" customHeight="1">
      <c r="A2627" s="102"/>
      <c r="B2627" s="102"/>
      <c r="C2627" s="116"/>
      <c r="F2627" s="107"/>
      <c r="G2627" s="10"/>
      <c r="H2627" s="103"/>
      <c r="I2627" s="108">
        <f>Tableau3[[#This Row],[Stock final]]*Tableau3[[#This Row],[P.U.]]</f>
        <v>0</v>
      </c>
      <c r="J2627" s="184"/>
    </row>
    <row r="2628" spans="1:10" ht="19.350000000000001" customHeight="1">
      <c r="A2628" s="102"/>
      <c r="B2628" s="102"/>
      <c r="C2628" s="116"/>
      <c r="F2628" s="107"/>
      <c r="G2628" s="10"/>
      <c r="H2628" s="103"/>
      <c r="I2628" s="108">
        <f>Tableau3[[#This Row],[Stock final]]*Tableau3[[#This Row],[P.U.]]</f>
        <v>0</v>
      </c>
      <c r="J2628" s="184"/>
    </row>
    <row r="2629" spans="1:10" ht="19.350000000000001" customHeight="1">
      <c r="A2629" s="102"/>
      <c r="B2629" s="102"/>
      <c r="C2629" s="116"/>
      <c r="F2629" s="107"/>
      <c r="G2629" s="10"/>
      <c r="H2629" s="103"/>
      <c r="I2629" s="108">
        <f>Tableau3[[#This Row],[Stock final]]*Tableau3[[#This Row],[P.U.]]</f>
        <v>0</v>
      </c>
      <c r="J2629" s="184"/>
    </row>
    <row r="2630" spans="1:10" ht="19.350000000000001" customHeight="1">
      <c r="A2630" s="102"/>
      <c r="B2630" s="102"/>
      <c r="C2630" s="116"/>
      <c r="F2630" s="107"/>
      <c r="G2630" s="10"/>
      <c r="H2630" s="103"/>
      <c r="I2630" s="108">
        <f>Tableau3[[#This Row],[Stock final]]*Tableau3[[#This Row],[P.U.]]</f>
        <v>0</v>
      </c>
      <c r="J2630" s="184"/>
    </row>
    <row r="2631" spans="1:10" ht="19.350000000000001" customHeight="1">
      <c r="A2631" s="102"/>
      <c r="B2631" s="102"/>
      <c r="C2631" s="116"/>
      <c r="F2631" s="107"/>
      <c r="G2631" s="10"/>
      <c r="H2631" s="103"/>
      <c r="I2631" s="108">
        <f>Tableau3[[#This Row],[Stock final]]*Tableau3[[#This Row],[P.U.]]</f>
        <v>0</v>
      </c>
      <c r="J2631" s="184"/>
    </row>
    <row r="2632" spans="1:10" ht="19.350000000000001" customHeight="1">
      <c r="A2632" s="102"/>
      <c r="B2632" s="102"/>
      <c r="C2632" s="116"/>
      <c r="F2632" s="107"/>
      <c r="G2632" s="10"/>
      <c r="H2632" s="103"/>
      <c r="I2632" s="108">
        <f>Tableau3[[#This Row],[Stock final]]*Tableau3[[#This Row],[P.U.]]</f>
        <v>0</v>
      </c>
      <c r="J2632" s="184"/>
    </row>
    <row r="2633" spans="1:10" ht="19.350000000000001" customHeight="1">
      <c r="A2633" s="102"/>
      <c r="B2633" s="102"/>
      <c r="C2633" s="116"/>
      <c r="F2633" s="107"/>
      <c r="G2633" s="10"/>
      <c r="H2633" s="103"/>
      <c r="I2633" s="108">
        <f>Tableau3[[#This Row],[Stock final]]*Tableau3[[#This Row],[P.U.]]</f>
        <v>0</v>
      </c>
      <c r="J2633" s="184"/>
    </row>
    <row r="2634" spans="1:10" ht="19.350000000000001" customHeight="1">
      <c r="A2634" s="102"/>
      <c r="B2634" s="102"/>
      <c r="C2634" s="116"/>
      <c r="F2634" s="107"/>
      <c r="G2634" s="10"/>
      <c r="H2634" s="103"/>
      <c r="I2634" s="108">
        <f>Tableau3[[#This Row],[Stock final]]*Tableau3[[#This Row],[P.U.]]</f>
        <v>0</v>
      </c>
      <c r="J2634" s="184"/>
    </row>
    <row r="2635" spans="1:10" ht="19.350000000000001" customHeight="1">
      <c r="A2635" s="102"/>
      <c r="B2635" s="102"/>
      <c r="C2635" s="116"/>
      <c r="F2635" s="107"/>
      <c r="G2635" s="10"/>
      <c r="H2635" s="103"/>
      <c r="I2635" s="108">
        <f>Tableau3[[#This Row],[Stock final]]*Tableau3[[#This Row],[P.U.]]</f>
        <v>0</v>
      </c>
      <c r="J2635" s="184"/>
    </row>
    <row r="2636" spans="1:10" ht="19.350000000000001" customHeight="1">
      <c r="A2636" s="102"/>
      <c r="B2636" s="102"/>
      <c r="C2636" s="116"/>
      <c r="F2636" s="107"/>
      <c r="G2636" s="10"/>
      <c r="H2636" s="103"/>
      <c r="I2636" s="108">
        <f>Tableau3[[#This Row],[Stock final]]*Tableau3[[#This Row],[P.U.]]</f>
        <v>0</v>
      </c>
      <c r="J2636" s="184"/>
    </row>
    <row r="2637" spans="1:10" ht="19.350000000000001" customHeight="1">
      <c r="A2637" s="102"/>
      <c r="B2637" s="102"/>
      <c r="C2637" s="116"/>
      <c r="F2637" s="107"/>
      <c r="G2637" s="10"/>
      <c r="H2637" s="103"/>
      <c r="I2637" s="108">
        <f>Tableau3[[#This Row],[Stock final]]*Tableau3[[#This Row],[P.U.]]</f>
        <v>0</v>
      </c>
      <c r="J2637" s="184"/>
    </row>
    <row r="2638" spans="1:10" ht="19.350000000000001" customHeight="1">
      <c r="A2638" s="102"/>
      <c r="B2638" s="102"/>
      <c r="C2638" s="116"/>
      <c r="F2638" s="107"/>
      <c r="G2638" s="10"/>
      <c r="H2638" s="103"/>
      <c r="I2638" s="108">
        <f>Tableau3[[#This Row],[Stock final]]*Tableau3[[#This Row],[P.U.]]</f>
        <v>0</v>
      </c>
      <c r="J2638" s="184"/>
    </row>
    <row r="2639" spans="1:10" ht="19.350000000000001" customHeight="1">
      <c r="A2639" s="102"/>
      <c r="B2639" s="102"/>
      <c r="C2639" s="116"/>
      <c r="F2639" s="107"/>
      <c r="G2639" s="10"/>
      <c r="H2639" s="103"/>
      <c r="I2639" s="108">
        <f>Tableau3[[#This Row],[Stock final]]*Tableau3[[#This Row],[P.U.]]</f>
        <v>0</v>
      </c>
      <c r="J2639" s="184"/>
    </row>
    <row r="2640" spans="1:10" ht="19.350000000000001" customHeight="1">
      <c r="A2640" s="102"/>
      <c r="B2640" s="102"/>
      <c r="C2640" s="116"/>
      <c r="F2640" s="107"/>
      <c r="G2640" s="10"/>
      <c r="H2640" s="103"/>
      <c r="I2640" s="108">
        <f>Tableau3[[#This Row],[Stock final]]*Tableau3[[#This Row],[P.U.]]</f>
        <v>0</v>
      </c>
      <c r="J2640" s="184"/>
    </row>
    <row r="2641" spans="1:10" ht="19.350000000000001" customHeight="1">
      <c r="A2641" s="102"/>
      <c r="B2641" s="102"/>
      <c r="C2641" s="116"/>
      <c r="F2641" s="107"/>
      <c r="G2641" s="10"/>
      <c r="H2641" s="103"/>
      <c r="I2641" s="108">
        <f>Tableau3[[#This Row],[Stock final]]*Tableau3[[#This Row],[P.U.]]</f>
        <v>0</v>
      </c>
      <c r="J2641" s="184"/>
    </row>
    <row r="2642" spans="1:10" ht="19.350000000000001" customHeight="1">
      <c r="A2642" s="102"/>
      <c r="B2642" s="102"/>
      <c r="C2642" s="116"/>
      <c r="F2642" s="107"/>
      <c r="G2642" s="10"/>
      <c r="H2642" s="103"/>
      <c r="I2642" s="108">
        <f>Tableau3[[#This Row],[Stock final]]*Tableau3[[#This Row],[P.U.]]</f>
        <v>0</v>
      </c>
      <c r="J2642" s="184"/>
    </row>
    <row r="2643" spans="1:10" ht="19.350000000000001" customHeight="1">
      <c r="A2643" s="102"/>
      <c r="B2643" s="102"/>
      <c r="C2643" s="116"/>
      <c r="F2643" s="107"/>
      <c r="G2643" s="10"/>
      <c r="H2643" s="103"/>
      <c r="I2643" s="108">
        <f>Tableau3[[#This Row],[Stock final]]*Tableau3[[#This Row],[P.U.]]</f>
        <v>0</v>
      </c>
      <c r="J2643" s="184"/>
    </row>
    <row r="2644" spans="1:10" ht="19.350000000000001" customHeight="1">
      <c r="A2644" s="102"/>
      <c r="B2644" s="102"/>
      <c r="C2644" s="116"/>
      <c r="F2644" s="107"/>
      <c r="G2644" s="10"/>
      <c r="H2644" s="103"/>
      <c r="I2644" s="108">
        <f>Tableau3[[#This Row],[Stock final]]*Tableau3[[#This Row],[P.U.]]</f>
        <v>0</v>
      </c>
      <c r="J2644" s="184"/>
    </row>
    <row r="2645" spans="1:10" ht="19.350000000000001" customHeight="1">
      <c r="A2645" s="102"/>
      <c r="B2645" s="102"/>
      <c r="C2645" s="116"/>
      <c r="F2645" s="107"/>
      <c r="G2645" s="10"/>
      <c r="H2645" s="103"/>
      <c r="I2645" s="108">
        <f>Tableau3[[#This Row],[Stock final]]*Tableau3[[#This Row],[P.U.]]</f>
        <v>0</v>
      </c>
      <c r="J2645" s="184"/>
    </row>
    <row r="2646" spans="1:10" ht="19.350000000000001" customHeight="1">
      <c r="A2646" s="102"/>
      <c r="B2646" s="102"/>
      <c r="C2646" s="116"/>
      <c r="F2646" s="107"/>
      <c r="G2646" s="10"/>
      <c r="H2646" s="103"/>
      <c r="I2646" s="108">
        <f>Tableau3[[#This Row],[Stock final]]*Tableau3[[#This Row],[P.U.]]</f>
        <v>0</v>
      </c>
      <c r="J2646" s="184"/>
    </row>
    <row r="2647" spans="1:10" ht="19.350000000000001" customHeight="1">
      <c r="A2647" s="102"/>
      <c r="B2647" s="102"/>
      <c r="C2647" s="116"/>
      <c r="F2647" s="107"/>
      <c r="G2647" s="10"/>
      <c r="H2647" s="103"/>
      <c r="I2647" s="108">
        <f>Tableau3[[#This Row],[Stock final]]*Tableau3[[#This Row],[P.U.]]</f>
        <v>0</v>
      </c>
      <c r="J2647" s="184"/>
    </row>
    <row r="2648" spans="1:10" ht="19.350000000000001" customHeight="1">
      <c r="A2648" s="102"/>
      <c r="B2648" s="102"/>
      <c r="C2648" s="116"/>
      <c r="F2648" s="107"/>
      <c r="G2648" s="10"/>
      <c r="H2648" s="103"/>
      <c r="I2648" s="108">
        <f>Tableau3[[#This Row],[Stock final]]*Tableau3[[#This Row],[P.U.]]</f>
        <v>0</v>
      </c>
      <c r="J2648" s="184"/>
    </row>
    <row r="2649" spans="1:10" ht="19.350000000000001" customHeight="1">
      <c r="A2649" s="102"/>
      <c r="B2649" s="102"/>
      <c r="C2649" s="116"/>
      <c r="F2649" s="107"/>
      <c r="G2649" s="10"/>
      <c r="H2649" s="103"/>
      <c r="I2649" s="108">
        <f>Tableau3[[#This Row],[Stock final]]*Tableau3[[#This Row],[P.U.]]</f>
        <v>0</v>
      </c>
      <c r="J2649" s="184"/>
    </row>
    <row r="2650" spans="1:10" ht="19.350000000000001" customHeight="1">
      <c r="A2650" s="102"/>
      <c r="B2650" s="102"/>
      <c r="C2650" s="116"/>
      <c r="F2650" s="107"/>
      <c r="G2650" s="10"/>
      <c r="H2650" s="103"/>
      <c r="I2650" s="108">
        <f>Tableau3[[#This Row],[Stock final]]*Tableau3[[#This Row],[P.U.]]</f>
        <v>0</v>
      </c>
      <c r="J2650" s="184"/>
    </row>
    <row r="2651" spans="1:10" ht="19.350000000000001" customHeight="1">
      <c r="A2651" s="102"/>
      <c r="B2651" s="102"/>
      <c r="C2651" s="116"/>
      <c r="F2651" s="107"/>
      <c r="G2651" s="10"/>
      <c r="H2651" s="103"/>
      <c r="I2651" s="108">
        <f>Tableau3[[#This Row],[Stock final]]*Tableau3[[#This Row],[P.U.]]</f>
        <v>0</v>
      </c>
      <c r="J2651" s="184"/>
    </row>
    <row r="2652" spans="1:10" ht="19.350000000000001" customHeight="1">
      <c r="A2652" s="102"/>
      <c r="B2652" s="102"/>
      <c r="C2652" s="116"/>
      <c r="F2652" s="107"/>
      <c r="G2652" s="10"/>
      <c r="H2652" s="103"/>
      <c r="I2652" s="108">
        <f>Tableau3[[#This Row],[Stock final]]*Tableau3[[#This Row],[P.U.]]</f>
        <v>0</v>
      </c>
      <c r="J2652" s="184"/>
    </row>
    <row r="2653" spans="1:10" ht="19.350000000000001" customHeight="1">
      <c r="A2653" s="102"/>
      <c r="B2653" s="102"/>
      <c r="C2653" s="116"/>
      <c r="F2653" s="107"/>
      <c r="G2653" s="10"/>
      <c r="H2653" s="103"/>
      <c r="I2653" s="108">
        <f>Tableau3[[#This Row],[Stock final]]*Tableau3[[#This Row],[P.U.]]</f>
        <v>0</v>
      </c>
      <c r="J2653" s="184"/>
    </row>
    <row r="2654" spans="1:10" ht="19.350000000000001" customHeight="1">
      <c r="A2654" s="102"/>
      <c r="B2654" s="102"/>
      <c r="C2654" s="116"/>
      <c r="F2654" s="107"/>
      <c r="G2654" s="10"/>
      <c r="H2654" s="103"/>
      <c r="I2654" s="108">
        <f>Tableau3[[#This Row],[Stock final]]*Tableau3[[#This Row],[P.U.]]</f>
        <v>0</v>
      </c>
      <c r="J2654" s="184"/>
    </row>
    <row r="2655" spans="1:10" ht="19.350000000000001" customHeight="1">
      <c r="A2655" s="102"/>
      <c r="B2655" s="102"/>
      <c r="C2655" s="116"/>
      <c r="F2655" s="107"/>
      <c r="G2655" s="10"/>
      <c r="H2655" s="103"/>
      <c r="I2655" s="108">
        <f>Tableau3[[#This Row],[Stock final]]*Tableau3[[#This Row],[P.U.]]</f>
        <v>0</v>
      </c>
      <c r="J2655" s="184"/>
    </row>
    <row r="2656" spans="1:10" ht="19.350000000000001" customHeight="1">
      <c r="A2656" s="102"/>
      <c r="B2656" s="102"/>
      <c r="C2656" s="116"/>
      <c r="F2656" s="107"/>
      <c r="G2656" s="10"/>
      <c r="H2656" s="103"/>
      <c r="I2656" s="108">
        <f>Tableau3[[#This Row],[Stock final]]*Tableau3[[#This Row],[P.U.]]</f>
        <v>0</v>
      </c>
      <c r="J2656" s="184"/>
    </row>
    <row r="2657" spans="1:10" ht="19.350000000000001" customHeight="1">
      <c r="A2657" s="102"/>
      <c r="B2657" s="102"/>
      <c r="C2657" s="116"/>
      <c r="F2657" s="107"/>
      <c r="G2657" s="10"/>
      <c r="H2657" s="103"/>
      <c r="I2657" s="108">
        <f>Tableau3[[#This Row],[Stock final]]*Tableau3[[#This Row],[P.U.]]</f>
        <v>0</v>
      </c>
      <c r="J2657" s="184"/>
    </row>
    <row r="2658" spans="1:10" ht="19.350000000000001" customHeight="1">
      <c r="A2658" s="102"/>
      <c r="B2658" s="102"/>
      <c r="C2658" s="116"/>
      <c r="F2658" s="107"/>
      <c r="G2658" s="10"/>
      <c r="H2658" s="103"/>
      <c r="I2658" s="108">
        <f>Tableau3[[#This Row],[Stock final]]*Tableau3[[#This Row],[P.U.]]</f>
        <v>0</v>
      </c>
      <c r="J2658" s="184"/>
    </row>
    <row r="2659" spans="1:10" ht="19.350000000000001" customHeight="1">
      <c r="A2659" s="102"/>
      <c r="B2659" s="102"/>
      <c r="C2659" s="116"/>
      <c r="F2659" s="107"/>
      <c r="G2659" s="10"/>
      <c r="H2659" s="103"/>
      <c r="I2659" s="108">
        <f>Tableau3[[#This Row],[Stock final]]*Tableau3[[#This Row],[P.U.]]</f>
        <v>0</v>
      </c>
      <c r="J2659" s="184"/>
    </row>
    <row r="2660" spans="1:10" ht="19.350000000000001" customHeight="1">
      <c r="A2660" s="102"/>
      <c r="B2660" s="102"/>
      <c r="C2660" s="116"/>
      <c r="F2660" s="107"/>
      <c r="G2660" s="10"/>
      <c r="H2660" s="103"/>
      <c r="I2660" s="108">
        <f>Tableau3[[#This Row],[Stock final]]*Tableau3[[#This Row],[P.U.]]</f>
        <v>0</v>
      </c>
      <c r="J2660" s="184"/>
    </row>
    <row r="2661" spans="1:10" ht="19.350000000000001" customHeight="1">
      <c r="A2661" s="102"/>
      <c r="B2661" s="102"/>
      <c r="C2661" s="116"/>
      <c r="F2661" s="107"/>
      <c r="G2661" s="10"/>
      <c r="H2661" s="103"/>
      <c r="I2661" s="108">
        <f>Tableau3[[#This Row],[Stock final]]*Tableau3[[#This Row],[P.U.]]</f>
        <v>0</v>
      </c>
      <c r="J2661" s="184"/>
    </row>
    <row r="2662" spans="1:10" ht="19.350000000000001" customHeight="1">
      <c r="A2662" s="102"/>
      <c r="B2662" s="102"/>
      <c r="C2662" s="116"/>
      <c r="F2662" s="107"/>
      <c r="G2662" s="10"/>
      <c r="H2662" s="103"/>
      <c r="I2662" s="108">
        <f>Tableau3[[#This Row],[Stock final]]*Tableau3[[#This Row],[P.U.]]</f>
        <v>0</v>
      </c>
      <c r="J2662" s="184"/>
    </row>
    <row r="2663" spans="1:10" ht="19.350000000000001" customHeight="1">
      <c r="A2663" s="102"/>
      <c r="B2663" s="102"/>
      <c r="C2663" s="116"/>
      <c r="F2663" s="107"/>
      <c r="G2663" s="10"/>
      <c r="H2663" s="103"/>
      <c r="I2663" s="108">
        <f>Tableau3[[#This Row],[Stock final]]*Tableau3[[#This Row],[P.U.]]</f>
        <v>0</v>
      </c>
      <c r="J2663" s="184"/>
    </row>
    <row r="2664" spans="1:10" ht="19.350000000000001" customHeight="1">
      <c r="A2664" s="102"/>
      <c r="B2664" s="102"/>
      <c r="C2664" s="116"/>
      <c r="F2664" s="107"/>
      <c r="G2664" s="10"/>
      <c r="H2664" s="103"/>
      <c r="I2664" s="108">
        <f>Tableau3[[#This Row],[Stock final]]*Tableau3[[#This Row],[P.U.]]</f>
        <v>0</v>
      </c>
      <c r="J2664" s="184"/>
    </row>
    <row r="2665" spans="1:10" ht="19.350000000000001" customHeight="1">
      <c r="A2665" s="102"/>
      <c r="B2665" s="102"/>
      <c r="C2665" s="116"/>
      <c r="F2665" s="107"/>
      <c r="G2665" s="10"/>
      <c r="H2665" s="103"/>
      <c r="I2665" s="108">
        <f>Tableau3[[#This Row],[Stock final]]*Tableau3[[#This Row],[P.U.]]</f>
        <v>0</v>
      </c>
      <c r="J2665" s="184"/>
    </row>
    <row r="2666" spans="1:10" ht="19.350000000000001" customHeight="1">
      <c r="A2666" s="102"/>
      <c r="B2666" s="102"/>
      <c r="C2666" s="116"/>
      <c r="F2666" s="107"/>
      <c r="G2666" s="10"/>
      <c r="H2666" s="103"/>
      <c r="I2666" s="108">
        <f>Tableau3[[#This Row],[Stock final]]*Tableau3[[#This Row],[P.U.]]</f>
        <v>0</v>
      </c>
      <c r="J2666" s="184"/>
    </row>
    <row r="2667" spans="1:10" ht="19.350000000000001" customHeight="1">
      <c r="A2667" s="102"/>
      <c r="B2667" s="102"/>
      <c r="C2667" s="116"/>
      <c r="F2667" s="107"/>
      <c r="G2667" s="10"/>
      <c r="H2667" s="103"/>
      <c r="I2667" s="108">
        <f>Tableau3[[#This Row],[Stock final]]*Tableau3[[#This Row],[P.U.]]</f>
        <v>0</v>
      </c>
      <c r="J2667" s="184"/>
    </row>
    <row r="2668" spans="1:10" ht="19.350000000000001" customHeight="1">
      <c r="A2668" s="102"/>
      <c r="B2668" s="102"/>
      <c r="C2668" s="116"/>
      <c r="F2668" s="107"/>
      <c r="G2668" s="10"/>
      <c r="H2668" s="103"/>
      <c r="I2668" s="108">
        <f>Tableau3[[#This Row],[Stock final]]*Tableau3[[#This Row],[P.U.]]</f>
        <v>0</v>
      </c>
      <c r="J2668" s="184"/>
    </row>
    <row r="2669" spans="1:10" ht="19.350000000000001" customHeight="1">
      <c r="A2669" s="102"/>
      <c r="B2669" s="102"/>
      <c r="C2669" s="116"/>
      <c r="F2669" s="107"/>
      <c r="G2669" s="10"/>
      <c r="H2669" s="103"/>
      <c r="I2669" s="108">
        <f>Tableau3[[#This Row],[Stock final]]*Tableau3[[#This Row],[P.U.]]</f>
        <v>0</v>
      </c>
      <c r="J2669" s="184"/>
    </row>
    <row r="2670" spans="1:10" ht="19.350000000000001" customHeight="1">
      <c r="A2670" s="102"/>
      <c r="B2670" s="102"/>
      <c r="C2670" s="116"/>
      <c r="F2670" s="107"/>
      <c r="G2670" s="10"/>
      <c r="H2670" s="103"/>
      <c r="I2670" s="108">
        <f>Tableau3[[#This Row],[Stock final]]*Tableau3[[#This Row],[P.U.]]</f>
        <v>0</v>
      </c>
      <c r="J2670" s="184"/>
    </row>
    <row r="2671" spans="1:10" ht="19.350000000000001" customHeight="1">
      <c r="A2671" s="102"/>
      <c r="B2671" s="102"/>
      <c r="C2671" s="116"/>
      <c r="F2671" s="107"/>
      <c r="G2671" s="10"/>
      <c r="H2671" s="103"/>
      <c r="I2671" s="108">
        <f>Tableau3[[#This Row],[Stock final]]*Tableau3[[#This Row],[P.U.]]</f>
        <v>0</v>
      </c>
      <c r="J2671" s="184"/>
    </row>
    <row r="2672" spans="1:10" ht="19.350000000000001" customHeight="1">
      <c r="A2672" s="102"/>
      <c r="B2672" s="102"/>
      <c r="C2672" s="116"/>
      <c r="F2672" s="107"/>
      <c r="G2672" s="10"/>
      <c r="H2672" s="103"/>
      <c r="I2672" s="108">
        <f>Tableau3[[#This Row],[Stock final]]*Tableau3[[#This Row],[P.U.]]</f>
        <v>0</v>
      </c>
      <c r="J2672" s="184"/>
    </row>
    <row r="2673" spans="1:10" ht="19.350000000000001" customHeight="1">
      <c r="A2673" s="102"/>
      <c r="B2673" s="102"/>
      <c r="C2673" s="116"/>
      <c r="F2673" s="107"/>
      <c r="G2673" s="10"/>
      <c r="H2673" s="103"/>
      <c r="I2673" s="108">
        <f>Tableau3[[#This Row],[Stock final]]*Tableau3[[#This Row],[P.U.]]</f>
        <v>0</v>
      </c>
      <c r="J2673" s="184"/>
    </row>
    <row r="2674" spans="1:10" ht="19.350000000000001" customHeight="1">
      <c r="A2674" s="102"/>
      <c r="B2674" s="102"/>
      <c r="C2674" s="116"/>
      <c r="F2674" s="107"/>
      <c r="G2674" s="10"/>
      <c r="H2674" s="103"/>
      <c r="I2674" s="108">
        <f>Tableau3[[#This Row],[Stock final]]*Tableau3[[#This Row],[P.U.]]</f>
        <v>0</v>
      </c>
      <c r="J2674" s="184"/>
    </row>
    <row r="2675" spans="1:10" ht="19.350000000000001" customHeight="1">
      <c r="A2675" s="102"/>
      <c r="B2675" s="102"/>
      <c r="C2675" s="116"/>
      <c r="F2675" s="107"/>
      <c r="G2675" s="10"/>
      <c r="H2675" s="103"/>
      <c r="I2675" s="108">
        <f>Tableau3[[#This Row],[Stock final]]*Tableau3[[#This Row],[P.U.]]</f>
        <v>0</v>
      </c>
      <c r="J2675" s="184"/>
    </row>
    <row r="2676" spans="1:10" ht="19.350000000000001" customHeight="1">
      <c r="A2676" s="102"/>
      <c r="B2676" s="102"/>
      <c r="C2676" s="116"/>
      <c r="F2676" s="107"/>
      <c r="G2676" s="10"/>
      <c r="H2676" s="103"/>
      <c r="I2676" s="108">
        <f>Tableau3[[#This Row],[Stock final]]*Tableau3[[#This Row],[P.U.]]</f>
        <v>0</v>
      </c>
      <c r="J2676" s="184"/>
    </row>
    <row r="2677" spans="1:10" ht="19.350000000000001" customHeight="1">
      <c r="A2677" s="102"/>
      <c r="B2677" s="102"/>
      <c r="C2677" s="116"/>
      <c r="F2677" s="107"/>
      <c r="G2677" s="10"/>
      <c r="H2677" s="103"/>
      <c r="I2677" s="108">
        <f>Tableau3[[#This Row],[Stock final]]*Tableau3[[#This Row],[P.U.]]</f>
        <v>0</v>
      </c>
      <c r="J2677" s="184"/>
    </row>
    <row r="2678" spans="1:10" ht="19.350000000000001" customHeight="1">
      <c r="A2678" s="102"/>
      <c r="B2678" s="102"/>
      <c r="C2678" s="116"/>
      <c r="F2678" s="107"/>
      <c r="G2678" s="10"/>
      <c r="H2678" s="103"/>
      <c r="I2678" s="108">
        <f>Tableau3[[#This Row],[Stock final]]*Tableau3[[#This Row],[P.U.]]</f>
        <v>0</v>
      </c>
      <c r="J2678" s="184"/>
    </row>
    <row r="2679" spans="1:10" ht="19.350000000000001" customHeight="1">
      <c r="A2679" s="102"/>
      <c r="B2679" s="102"/>
      <c r="C2679" s="116"/>
      <c r="F2679" s="107"/>
      <c r="G2679" s="10"/>
      <c r="H2679" s="103"/>
      <c r="I2679" s="108">
        <f>Tableau3[[#This Row],[Stock final]]*Tableau3[[#This Row],[P.U.]]</f>
        <v>0</v>
      </c>
      <c r="J2679" s="184"/>
    </row>
    <row r="2680" spans="1:10" ht="19.350000000000001" customHeight="1">
      <c r="A2680" s="102"/>
      <c r="B2680" s="102"/>
      <c r="C2680" s="116"/>
      <c r="F2680" s="107"/>
      <c r="G2680" s="10"/>
      <c r="H2680" s="103"/>
      <c r="I2680" s="108">
        <f>Tableau3[[#This Row],[Stock final]]*Tableau3[[#This Row],[P.U.]]</f>
        <v>0</v>
      </c>
      <c r="J2680" s="184"/>
    </row>
    <row r="2681" spans="1:10" ht="19.350000000000001" customHeight="1">
      <c r="A2681" s="102"/>
      <c r="B2681" s="102"/>
      <c r="C2681" s="116"/>
      <c r="F2681" s="107"/>
      <c r="G2681" s="10"/>
      <c r="H2681" s="103"/>
      <c r="I2681" s="108">
        <f>Tableau3[[#This Row],[Stock final]]*Tableau3[[#This Row],[P.U.]]</f>
        <v>0</v>
      </c>
      <c r="J2681" s="184"/>
    </row>
    <row r="2682" spans="1:10" ht="19.350000000000001" customHeight="1">
      <c r="A2682" s="102"/>
      <c r="B2682" s="102"/>
      <c r="C2682" s="116"/>
      <c r="F2682" s="107"/>
      <c r="G2682" s="10"/>
      <c r="H2682" s="103"/>
      <c r="I2682" s="108">
        <f>Tableau3[[#This Row],[Stock final]]*Tableau3[[#This Row],[P.U.]]</f>
        <v>0</v>
      </c>
      <c r="J2682" s="184"/>
    </row>
    <row r="2683" spans="1:10" ht="19.350000000000001" customHeight="1">
      <c r="A2683" s="102"/>
      <c r="B2683" s="102"/>
      <c r="C2683" s="116"/>
      <c r="F2683" s="107"/>
      <c r="G2683" s="10"/>
      <c r="H2683" s="103"/>
      <c r="I2683" s="108">
        <f>Tableau3[[#This Row],[Stock final]]*Tableau3[[#This Row],[P.U.]]</f>
        <v>0</v>
      </c>
      <c r="J2683" s="184"/>
    </row>
    <row r="2684" spans="1:10" ht="19.350000000000001" customHeight="1">
      <c r="A2684" s="102"/>
      <c r="B2684" s="102"/>
      <c r="C2684" s="116"/>
      <c r="F2684" s="107"/>
      <c r="G2684" s="10"/>
      <c r="H2684" s="103"/>
      <c r="I2684" s="108">
        <f>Tableau3[[#This Row],[Stock final]]*Tableau3[[#This Row],[P.U.]]</f>
        <v>0</v>
      </c>
      <c r="J2684" s="184"/>
    </row>
    <row r="2685" spans="1:10" ht="19.350000000000001" customHeight="1">
      <c r="A2685" s="102"/>
      <c r="B2685" s="102"/>
      <c r="C2685" s="116"/>
      <c r="F2685" s="107"/>
      <c r="G2685" s="10"/>
      <c r="H2685" s="103"/>
      <c r="I2685" s="108">
        <f>Tableau3[[#This Row],[Stock final]]*Tableau3[[#This Row],[P.U.]]</f>
        <v>0</v>
      </c>
      <c r="J2685" s="184"/>
    </row>
    <row r="2686" spans="1:10" ht="19.350000000000001" customHeight="1">
      <c r="A2686" s="102"/>
      <c r="B2686" s="102"/>
      <c r="C2686" s="116"/>
      <c r="F2686" s="107"/>
      <c r="G2686" s="10"/>
      <c r="H2686" s="103"/>
      <c r="I2686" s="108">
        <f>Tableau3[[#This Row],[Stock final]]*Tableau3[[#This Row],[P.U.]]</f>
        <v>0</v>
      </c>
      <c r="J2686" s="184"/>
    </row>
    <row r="2687" spans="1:10" ht="19.350000000000001" customHeight="1">
      <c r="A2687" s="102"/>
      <c r="B2687" s="102"/>
      <c r="C2687" s="116"/>
      <c r="F2687" s="107"/>
      <c r="G2687" s="10"/>
      <c r="H2687" s="103"/>
      <c r="I2687" s="108">
        <f>Tableau3[[#This Row],[Stock final]]*Tableau3[[#This Row],[P.U.]]</f>
        <v>0</v>
      </c>
      <c r="J2687" s="184"/>
    </row>
    <row r="2688" spans="1:10" ht="19.350000000000001" customHeight="1">
      <c r="A2688" s="102"/>
      <c r="B2688" s="102"/>
      <c r="C2688" s="116"/>
      <c r="F2688" s="107"/>
      <c r="G2688" s="10"/>
      <c r="H2688" s="103"/>
      <c r="I2688" s="108">
        <f>Tableau3[[#This Row],[Stock final]]*Tableau3[[#This Row],[P.U.]]</f>
        <v>0</v>
      </c>
      <c r="J2688" s="184"/>
    </row>
    <row r="2689" spans="1:10" ht="19.350000000000001" customHeight="1">
      <c r="A2689" s="102"/>
      <c r="B2689" s="102"/>
      <c r="C2689" s="116"/>
      <c r="F2689" s="107"/>
      <c r="G2689" s="10"/>
      <c r="H2689" s="103"/>
      <c r="I2689" s="108">
        <f>Tableau3[[#This Row],[Stock final]]*Tableau3[[#This Row],[P.U.]]</f>
        <v>0</v>
      </c>
      <c r="J2689" s="184"/>
    </row>
    <row r="2690" spans="1:10" ht="19.350000000000001" customHeight="1">
      <c r="A2690" s="102"/>
      <c r="B2690" s="102"/>
      <c r="C2690" s="116"/>
      <c r="F2690" s="107"/>
      <c r="G2690" s="10"/>
      <c r="H2690" s="103"/>
      <c r="I2690" s="108">
        <f>Tableau3[[#This Row],[Stock final]]*Tableau3[[#This Row],[P.U.]]</f>
        <v>0</v>
      </c>
      <c r="J2690" s="184"/>
    </row>
    <row r="2691" spans="1:10" ht="19.350000000000001" customHeight="1">
      <c r="A2691" s="102"/>
      <c r="B2691" s="102"/>
      <c r="C2691" s="116"/>
      <c r="F2691" s="107"/>
      <c r="G2691" s="10"/>
      <c r="H2691" s="103"/>
      <c r="I2691" s="108">
        <f>Tableau3[[#This Row],[Stock final]]*Tableau3[[#This Row],[P.U.]]</f>
        <v>0</v>
      </c>
      <c r="J2691" s="184"/>
    </row>
    <row r="2692" spans="1:10" ht="19.350000000000001" customHeight="1">
      <c r="A2692" s="102"/>
      <c r="B2692" s="102"/>
      <c r="C2692" s="116"/>
      <c r="F2692" s="107"/>
      <c r="G2692" s="10"/>
      <c r="H2692" s="103"/>
      <c r="I2692" s="108">
        <f>Tableau3[[#This Row],[Stock final]]*Tableau3[[#This Row],[P.U.]]</f>
        <v>0</v>
      </c>
      <c r="J2692" s="184"/>
    </row>
    <row r="2693" spans="1:10" ht="19.350000000000001" customHeight="1">
      <c r="A2693" s="102"/>
      <c r="B2693" s="102"/>
      <c r="C2693" s="116"/>
      <c r="F2693" s="107"/>
      <c r="G2693" s="10"/>
      <c r="H2693" s="103"/>
      <c r="I2693" s="108">
        <f>Tableau3[[#This Row],[Stock final]]*Tableau3[[#This Row],[P.U.]]</f>
        <v>0</v>
      </c>
      <c r="J2693" s="184"/>
    </row>
    <row r="2694" spans="1:10" ht="19.350000000000001" customHeight="1">
      <c r="A2694" s="102"/>
      <c r="B2694" s="102"/>
      <c r="C2694" s="116"/>
      <c r="F2694" s="107"/>
      <c r="G2694" s="10"/>
      <c r="H2694" s="103"/>
      <c r="I2694" s="108">
        <f>Tableau3[[#This Row],[Stock final]]*Tableau3[[#This Row],[P.U.]]</f>
        <v>0</v>
      </c>
      <c r="J2694" s="184"/>
    </row>
    <row r="2695" spans="1:10" ht="19.350000000000001" customHeight="1">
      <c r="A2695" s="102"/>
      <c r="B2695" s="102"/>
      <c r="C2695" s="116"/>
      <c r="F2695" s="107"/>
      <c r="G2695" s="10"/>
      <c r="H2695" s="103"/>
      <c r="I2695" s="108">
        <f>Tableau3[[#This Row],[Stock final]]*Tableau3[[#This Row],[P.U.]]</f>
        <v>0</v>
      </c>
      <c r="J2695" s="184"/>
    </row>
    <row r="2696" spans="1:10" ht="19.350000000000001" customHeight="1">
      <c r="A2696" s="102"/>
      <c r="B2696" s="102"/>
      <c r="C2696" s="116"/>
      <c r="F2696" s="107"/>
      <c r="G2696" s="10"/>
      <c r="H2696" s="103"/>
      <c r="I2696" s="108">
        <f>Tableau3[[#This Row],[Stock final]]*Tableau3[[#This Row],[P.U.]]</f>
        <v>0</v>
      </c>
      <c r="J2696" s="184"/>
    </row>
    <row r="2697" spans="1:10" ht="19.350000000000001" customHeight="1">
      <c r="A2697" s="102"/>
      <c r="B2697" s="102"/>
      <c r="C2697" s="116"/>
      <c r="F2697" s="107"/>
      <c r="G2697" s="10"/>
      <c r="H2697" s="103"/>
      <c r="I2697" s="108">
        <f>Tableau3[[#This Row],[Stock final]]*Tableau3[[#This Row],[P.U.]]</f>
        <v>0</v>
      </c>
      <c r="J2697" s="184"/>
    </row>
    <row r="2698" spans="1:10" ht="19.350000000000001" customHeight="1">
      <c r="A2698" s="102"/>
      <c r="B2698" s="102"/>
      <c r="C2698" s="116"/>
      <c r="F2698" s="107"/>
      <c r="G2698" s="10"/>
      <c r="H2698" s="103"/>
      <c r="I2698" s="108">
        <f>Tableau3[[#This Row],[Stock final]]*Tableau3[[#This Row],[P.U.]]</f>
        <v>0</v>
      </c>
      <c r="J2698" s="184"/>
    </row>
    <row r="2699" spans="1:10" ht="19.350000000000001" customHeight="1">
      <c r="A2699" s="102"/>
      <c r="B2699" s="102"/>
      <c r="C2699" s="116"/>
      <c r="F2699" s="107"/>
      <c r="G2699" s="10"/>
      <c r="H2699" s="103"/>
      <c r="I2699" s="108">
        <f>Tableau3[[#This Row],[Stock final]]*Tableau3[[#This Row],[P.U.]]</f>
        <v>0</v>
      </c>
      <c r="J2699" s="184"/>
    </row>
    <row r="2700" spans="1:10" ht="19.350000000000001" customHeight="1">
      <c r="A2700" s="102"/>
      <c r="B2700" s="102"/>
      <c r="C2700" s="116"/>
      <c r="F2700" s="107"/>
      <c r="G2700" s="10"/>
      <c r="H2700" s="103"/>
      <c r="I2700" s="108">
        <f>Tableau3[[#This Row],[Stock final]]*Tableau3[[#This Row],[P.U.]]</f>
        <v>0</v>
      </c>
      <c r="J2700" s="184"/>
    </row>
    <row r="2701" spans="1:10" ht="19.350000000000001" customHeight="1">
      <c r="A2701" s="102"/>
      <c r="B2701" s="102"/>
      <c r="C2701" s="116"/>
      <c r="F2701" s="107"/>
      <c r="G2701" s="10"/>
      <c r="H2701" s="103"/>
      <c r="I2701" s="108">
        <f>Tableau3[[#This Row],[Stock final]]*Tableau3[[#This Row],[P.U.]]</f>
        <v>0</v>
      </c>
      <c r="J2701" s="184"/>
    </row>
    <row r="2702" spans="1:10" ht="19.350000000000001" customHeight="1">
      <c r="A2702" s="102"/>
      <c r="B2702" s="102"/>
      <c r="C2702" s="116"/>
      <c r="F2702" s="107"/>
      <c r="G2702" s="10"/>
      <c r="H2702" s="103"/>
      <c r="I2702" s="108">
        <f>Tableau3[[#This Row],[Stock final]]*Tableau3[[#This Row],[P.U.]]</f>
        <v>0</v>
      </c>
      <c r="J2702" s="184"/>
    </row>
    <row r="2703" spans="1:10" ht="19.350000000000001" customHeight="1">
      <c r="A2703" s="102"/>
      <c r="B2703" s="102"/>
      <c r="C2703" s="116"/>
      <c r="F2703" s="107"/>
      <c r="G2703" s="10"/>
      <c r="H2703" s="103"/>
      <c r="I2703" s="108">
        <f>Tableau3[[#This Row],[Stock final]]*Tableau3[[#This Row],[P.U.]]</f>
        <v>0</v>
      </c>
      <c r="J2703" s="184"/>
    </row>
    <row r="2704" spans="1:10" ht="19.350000000000001" customHeight="1">
      <c r="A2704" s="102"/>
      <c r="B2704" s="102"/>
      <c r="C2704" s="116"/>
      <c r="F2704" s="107"/>
      <c r="G2704" s="10"/>
      <c r="H2704" s="103"/>
      <c r="I2704" s="108">
        <f>Tableau3[[#This Row],[Stock final]]*Tableau3[[#This Row],[P.U.]]</f>
        <v>0</v>
      </c>
      <c r="J2704" s="184"/>
    </row>
    <row r="2705" spans="1:10" ht="19.350000000000001" customHeight="1">
      <c r="A2705" s="102"/>
      <c r="B2705" s="102"/>
      <c r="C2705" s="116"/>
      <c r="F2705" s="107"/>
      <c r="G2705" s="10"/>
      <c r="H2705" s="103"/>
      <c r="I2705" s="108">
        <f>Tableau3[[#This Row],[Stock final]]*Tableau3[[#This Row],[P.U.]]</f>
        <v>0</v>
      </c>
      <c r="J2705" s="184"/>
    </row>
    <row r="2706" spans="1:10" ht="19.350000000000001" customHeight="1">
      <c r="A2706" s="102"/>
      <c r="B2706" s="102"/>
      <c r="C2706" s="116"/>
      <c r="F2706" s="107"/>
      <c r="G2706" s="10"/>
      <c r="H2706" s="103"/>
      <c r="I2706" s="108">
        <f>Tableau3[[#This Row],[Stock final]]*Tableau3[[#This Row],[P.U.]]</f>
        <v>0</v>
      </c>
      <c r="J2706" s="184"/>
    </row>
    <row r="2707" spans="1:10" ht="19.350000000000001" customHeight="1">
      <c r="A2707" s="102"/>
      <c r="B2707" s="102"/>
      <c r="C2707" s="116"/>
      <c r="F2707" s="107"/>
      <c r="G2707" s="10"/>
      <c r="H2707" s="103"/>
      <c r="I2707" s="108">
        <f>Tableau3[[#This Row],[Stock final]]*Tableau3[[#This Row],[P.U.]]</f>
        <v>0</v>
      </c>
      <c r="J2707" s="184"/>
    </row>
    <row r="2708" spans="1:10" ht="19.350000000000001" customHeight="1">
      <c r="A2708" s="102"/>
      <c r="B2708" s="102"/>
      <c r="C2708" s="116"/>
      <c r="F2708" s="107"/>
      <c r="G2708" s="10"/>
      <c r="H2708" s="103"/>
      <c r="I2708" s="108">
        <f>Tableau3[[#This Row],[Stock final]]*Tableau3[[#This Row],[P.U.]]</f>
        <v>0</v>
      </c>
      <c r="J2708" s="184"/>
    </row>
    <row r="2709" spans="1:10" ht="19.350000000000001" customHeight="1">
      <c r="A2709" s="102"/>
      <c r="B2709" s="102"/>
      <c r="C2709" s="116"/>
      <c r="F2709" s="107"/>
      <c r="G2709" s="10"/>
      <c r="H2709" s="103"/>
      <c r="I2709" s="108">
        <f>Tableau3[[#This Row],[Stock final]]*Tableau3[[#This Row],[P.U.]]</f>
        <v>0</v>
      </c>
      <c r="J2709" s="184"/>
    </row>
    <row r="2710" spans="1:10" ht="19.350000000000001" customHeight="1">
      <c r="A2710" s="102"/>
      <c r="B2710" s="102"/>
      <c r="C2710" s="116"/>
      <c r="F2710" s="107"/>
      <c r="G2710" s="10"/>
      <c r="H2710" s="103"/>
      <c r="I2710" s="108">
        <f>Tableau3[[#This Row],[Stock final]]*Tableau3[[#This Row],[P.U.]]</f>
        <v>0</v>
      </c>
      <c r="J2710" s="184"/>
    </row>
    <row r="2711" spans="1:10" ht="19.350000000000001" customHeight="1">
      <c r="A2711" s="102"/>
      <c r="B2711" s="102"/>
      <c r="C2711" s="116"/>
      <c r="F2711" s="107"/>
      <c r="G2711" s="10"/>
      <c r="H2711" s="103"/>
      <c r="I2711" s="108">
        <f>Tableau3[[#This Row],[Stock final]]*Tableau3[[#This Row],[P.U.]]</f>
        <v>0</v>
      </c>
      <c r="J2711" s="184"/>
    </row>
    <row r="2712" spans="1:10" ht="19.350000000000001" customHeight="1">
      <c r="A2712" s="102"/>
      <c r="B2712" s="102"/>
      <c r="C2712" s="116"/>
      <c r="F2712" s="107"/>
      <c r="G2712" s="10"/>
      <c r="H2712" s="103"/>
      <c r="I2712" s="108">
        <f>Tableau3[[#This Row],[Stock final]]*Tableau3[[#This Row],[P.U.]]</f>
        <v>0</v>
      </c>
      <c r="J2712" s="184"/>
    </row>
    <row r="2713" spans="1:10" ht="19.350000000000001" customHeight="1">
      <c r="A2713" s="102"/>
      <c r="B2713" s="102"/>
      <c r="C2713" s="116"/>
      <c r="F2713" s="107"/>
      <c r="G2713" s="10"/>
      <c r="H2713" s="103"/>
      <c r="I2713" s="108">
        <f>Tableau3[[#This Row],[Stock final]]*Tableau3[[#This Row],[P.U.]]</f>
        <v>0</v>
      </c>
      <c r="J2713" s="184"/>
    </row>
    <row r="2714" spans="1:10" ht="19.350000000000001" customHeight="1">
      <c r="A2714" s="102"/>
      <c r="B2714" s="102"/>
      <c r="C2714" s="116"/>
      <c r="F2714" s="107"/>
      <c r="G2714" s="10"/>
      <c r="H2714" s="103"/>
      <c r="I2714" s="108">
        <f>Tableau3[[#This Row],[Stock final]]*Tableau3[[#This Row],[P.U.]]</f>
        <v>0</v>
      </c>
      <c r="J2714" s="184"/>
    </row>
    <row r="2715" spans="1:10" ht="19.350000000000001" customHeight="1">
      <c r="A2715" s="102"/>
      <c r="B2715" s="102"/>
      <c r="C2715" s="116"/>
      <c r="F2715" s="107"/>
      <c r="G2715" s="10"/>
      <c r="H2715" s="103"/>
      <c r="I2715" s="108">
        <f>Tableau3[[#This Row],[Stock final]]*Tableau3[[#This Row],[P.U.]]</f>
        <v>0</v>
      </c>
      <c r="J2715" s="184"/>
    </row>
    <row r="2716" spans="1:10" ht="19.350000000000001" customHeight="1">
      <c r="A2716" s="102"/>
      <c r="B2716" s="102"/>
      <c r="C2716" s="116"/>
      <c r="F2716" s="107"/>
      <c r="G2716" s="10"/>
      <c r="H2716" s="103"/>
      <c r="I2716" s="108">
        <f>Tableau3[[#This Row],[Stock final]]*Tableau3[[#This Row],[P.U.]]</f>
        <v>0</v>
      </c>
      <c r="J2716" s="184"/>
    </row>
    <row r="2717" spans="1:10" ht="19.350000000000001" customHeight="1">
      <c r="A2717" s="102"/>
      <c r="B2717" s="102"/>
      <c r="C2717" s="116"/>
      <c r="F2717" s="107"/>
      <c r="G2717" s="10"/>
      <c r="H2717" s="103"/>
      <c r="I2717" s="108">
        <f>Tableau3[[#This Row],[Stock final]]*Tableau3[[#This Row],[P.U.]]</f>
        <v>0</v>
      </c>
      <c r="J2717" s="184"/>
    </row>
    <row r="2718" spans="1:10" ht="19.350000000000001" customHeight="1">
      <c r="A2718" s="102"/>
      <c r="B2718" s="102"/>
      <c r="C2718" s="116"/>
      <c r="F2718" s="107"/>
      <c r="G2718" s="10"/>
      <c r="H2718" s="103"/>
      <c r="I2718" s="108">
        <f>Tableau3[[#This Row],[Stock final]]*Tableau3[[#This Row],[P.U.]]</f>
        <v>0</v>
      </c>
      <c r="J2718" s="184"/>
    </row>
    <row r="2719" spans="1:10" ht="19.350000000000001" customHeight="1">
      <c r="A2719" s="102"/>
      <c r="B2719" s="102"/>
      <c r="C2719" s="116"/>
      <c r="F2719" s="107"/>
      <c r="G2719" s="10"/>
      <c r="H2719" s="103"/>
      <c r="I2719" s="108">
        <f>Tableau3[[#This Row],[Stock final]]*Tableau3[[#This Row],[P.U.]]</f>
        <v>0</v>
      </c>
      <c r="J2719" s="184"/>
    </row>
    <row r="2720" spans="1:10" ht="19.350000000000001" customHeight="1">
      <c r="A2720" s="102"/>
      <c r="B2720" s="102"/>
      <c r="C2720" s="116"/>
      <c r="F2720" s="107"/>
      <c r="G2720" s="10"/>
      <c r="H2720" s="103"/>
      <c r="I2720" s="108">
        <f>Tableau3[[#This Row],[Stock final]]*Tableau3[[#This Row],[P.U.]]</f>
        <v>0</v>
      </c>
      <c r="J2720" s="184"/>
    </row>
    <row r="2721" spans="1:10" ht="19.350000000000001" customHeight="1">
      <c r="A2721" s="102"/>
      <c r="B2721" s="102"/>
      <c r="C2721" s="116"/>
      <c r="F2721" s="107"/>
      <c r="G2721" s="10"/>
      <c r="H2721" s="103"/>
      <c r="I2721" s="108">
        <f>Tableau3[[#This Row],[Stock final]]*Tableau3[[#This Row],[P.U.]]</f>
        <v>0</v>
      </c>
      <c r="J2721" s="184"/>
    </row>
    <row r="2722" spans="1:10" ht="19.350000000000001" customHeight="1">
      <c r="A2722" s="102"/>
      <c r="B2722" s="102"/>
      <c r="C2722" s="116"/>
      <c r="F2722" s="107"/>
      <c r="G2722" s="10"/>
      <c r="H2722" s="103"/>
      <c r="I2722" s="108">
        <f>Tableau3[[#This Row],[Stock final]]*Tableau3[[#This Row],[P.U.]]</f>
        <v>0</v>
      </c>
      <c r="J2722" s="184"/>
    </row>
    <row r="2723" spans="1:10" ht="19.350000000000001" customHeight="1">
      <c r="A2723" s="102"/>
      <c r="B2723" s="102"/>
      <c r="C2723" s="116"/>
      <c r="F2723" s="107"/>
      <c r="G2723" s="10"/>
      <c r="H2723" s="103"/>
      <c r="I2723" s="108">
        <f>Tableau3[[#This Row],[Stock final]]*Tableau3[[#This Row],[P.U.]]</f>
        <v>0</v>
      </c>
      <c r="J2723" s="184"/>
    </row>
    <row r="2724" spans="1:10" ht="19.350000000000001" customHeight="1">
      <c r="A2724" s="102"/>
      <c r="B2724" s="102"/>
      <c r="C2724" s="116"/>
      <c r="F2724" s="107"/>
      <c r="G2724" s="10"/>
      <c r="H2724" s="103"/>
      <c r="I2724" s="108">
        <f>Tableau3[[#This Row],[Stock final]]*Tableau3[[#This Row],[P.U.]]</f>
        <v>0</v>
      </c>
      <c r="J2724" s="184"/>
    </row>
    <row r="2725" spans="1:10" ht="19.350000000000001" customHeight="1">
      <c r="A2725" s="102"/>
      <c r="B2725" s="102"/>
      <c r="C2725" s="116"/>
      <c r="F2725" s="107"/>
      <c r="G2725" s="10"/>
      <c r="H2725" s="103"/>
      <c r="I2725" s="108">
        <f>Tableau3[[#This Row],[Stock final]]*Tableau3[[#This Row],[P.U.]]</f>
        <v>0</v>
      </c>
      <c r="J2725" s="184"/>
    </row>
    <row r="2726" spans="1:10" ht="19.350000000000001" customHeight="1">
      <c r="A2726" s="102"/>
      <c r="B2726" s="102"/>
      <c r="C2726" s="116"/>
      <c r="F2726" s="107"/>
      <c r="G2726" s="10"/>
      <c r="H2726" s="103"/>
      <c r="I2726" s="108">
        <f>Tableau3[[#This Row],[Stock final]]*Tableau3[[#This Row],[P.U.]]</f>
        <v>0</v>
      </c>
      <c r="J2726" s="184"/>
    </row>
    <row r="2727" spans="1:10" ht="19.350000000000001" customHeight="1">
      <c r="A2727" s="102"/>
      <c r="B2727" s="102"/>
      <c r="C2727" s="116"/>
      <c r="F2727" s="107"/>
      <c r="G2727" s="10"/>
      <c r="H2727" s="103"/>
      <c r="I2727" s="108">
        <f>Tableau3[[#This Row],[Stock final]]*Tableau3[[#This Row],[P.U.]]</f>
        <v>0</v>
      </c>
      <c r="J2727" s="184"/>
    </row>
    <row r="2728" spans="1:10" ht="19.350000000000001" customHeight="1">
      <c r="A2728" s="102"/>
      <c r="B2728" s="102"/>
      <c r="C2728" s="116"/>
      <c r="F2728" s="107"/>
      <c r="G2728" s="10"/>
      <c r="H2728" s="103"/>
      <c r="I2728" s="108">
        <f>Tableau3[[#This Row],[Stock final]]*Tableau3[[#This Row],[P.U.]]</f>
        <v>0</v>
      </c>
      <c r="J2728" s="184"/>
    </row>
    <row r="2729" spans="1:10" ht="19.350000000000001" customHeight="1">
      <c r="A2729" s="102"/>
      <c r="B2729" s="102"/>
      <c r="C2729" s="116"/>
      <c r="F2729" s="107"/>
      <c r="G2729" s="10"/>
      <c r="H2729" s="103"/>
      <c r="I2729" s="108">
        <f>Tableau3[[#This Row],[Stock final]]*Tableau3[[#This Row],[P.U.]]</f>
        <v>0</v>
      </c>
      <c r="J2729" s="184"/>
    </row>
    <row r="2730" spans="1:10" ht="19.350000000000001" customHeight="1">
      <c r="A2730" s="102"/>
      <c r="B2730" s="102"/>
      <c r="C2730" s="116"/>
      <c r="F2730" s="107"/>
      <c r="G2730" s="10"/>
      <c r="H2730" s="103"/>
      <c r="I2730" s="108">
        <f>Tableau3[[#This Row],[Stock final]]*Tableau3[[#This Row],[P.U.]]</f>
        <v>0</v>
      </c>
      <c r="J2730" s="184"/>
    </row>
    <row r="2731" spans="1:10" ht="19.350000000000001" customHeight="1">
      <c r="A2731" s="102"/>
      <c r="B2731" s="102"/>
      <c r="C2731" s="116"/>
      <c r="F2731" s="107"/>
      <c r="G2731" s="10"/>
      <c r="H2731" s="103"/>
      <c r="I2731" s="108">
        <f>Tableau3[[#This Row],[Stock final]]*Tableau3[[#This Row],[P.U.]]</f>
        <v>0</v>
      </c>
      <c r="J2731" s="184"/>
    </row>
    <row r="2732" spans="1:10" ht="19.350000000000001" customHeight="1">
      <c r="A2732" s="102"/>
      <c r="B2732" s="102"/>
      <c r="C2732" s="116"/>
      <c r="F2732" s="107"/>
      <c r="G2732" s="10"/>
      <c r="H2732" s="103"/>
      <c r="I2732" s="108">
        <f>Tableau3[[#This Row],[Stock final]]*Tableau3[[#This Row],[P.U.]]</f>
        <v>0</v>
      </c>
      <c r="J2732" s="184"/>
    </row>
    <row r="2733" spans="1:10" ht="19.350000000000001" customHeight="1">
      <c r="A2733" s="102"/>
      <c r="B2733" s="102"/>
      <c r="C2733" s="116"/>
      <c r="F2733" s="107"/>
      <c r="G2733" s="10"/>
      <c r="H2733" s="103"/>
      <c r="I2733" s="108">
        <f>Tableau3[[#This Row],[Stock final]]*Tableau3[[#This Row],[P.U.]]</f>
        <v>0</v>
      </c>
      <c r="J2733" s="184"/>
    </row>
    <row r="2734" spans="1:10" ht="19.350000000000001" customHeight="1">
      <c r="A2734" s="102"/>
      <c r="B2734" s="102"/>
      <c r="C2734" s="116"/>
      <c r="F2734" s="107"/>
      <c r="G2734" s="10"/>
      <c r="H2734" s="103"/>
      <c r="I2734" s="108">
        <f>Tableau3[[#This Row],[Stock final]]*Tableau3[[#This Row],[P.U.]]</f>
        <v>0</v>
      </c>
      <c r="J2734" s="184"/>
    </row>
    <row r="2735" spans="1:10" ht="19.350000000000001" customHeight="1">
      <c r="A2735" s="102"/>
      <c r="B2735" s="102"/>
      <c r="C2735" s="116"/>
      <c r="F2735" s="107"/>
      <c r="G2735" s="10"/>
      <c r="H2735" s="103"/>
      <c r="I2735" s="108">
        <f>Tableau3[[#This Row],[Stock final]]*Tableau3[[#This Row],[P.U.]]</f>
        <v>0</v>
      </c>
      <c r="J2735" s="184"/>
    </row>
    <row r="2736" spans="1:10" ht="19.350000000000001" customHeight="1">
      <c r="A2736" s="102"/>
      <c r="B2736" s="102"/>
      <c r="C2736" s="116"/>
      <c r="F2736" s="107"/>
      <c r="G2736" s="10"/>
      <c r="H2736" s="103"/>
      <c r="I2736" s="108">
        <f>Tableau3[[#This Row],[Stock final]]*Tableau3[[#This Row],[P.U.]]</f>
        <v>0</v>
      </c>
      <c r="J2736" s="184"/>
    </row>
    <row r="2737" spans="1:10" ht="19.350000000000001" customHeight="1">
      <c r="A2737" s="102"/>
      <c r="B2737" s="102"/>
      <c r="C2737" s="116"/>
      <c r="F2737" s="107"/>
      <c r="G2737" s="10"/>
      <c r="H2737" s="103"/>
      <c r="I2737" s="108">
        <f>Tableau3[[#This Row],[Stock final]]*Tableau3[[#This Row],[P.U.]]</f>
        <v>0</v>
      </c>
      <c r="J2737" s="184"/>
    </row>
    <row r="2738" spans="1:10" ht="19.350000000000001" customHeight="1">
      <c r="A2738" s="102"/>
      <c r="B2738" s="102"/>
      <c r="C2738" s="116"/>
      <c r="F2738" s="107"/>
      <c r="G2738" s="10"/>
      <c r="H2738" s="103"/>
      <c r="I2738" s="108">
        <f>Tableau3[[#This Row],[Stock final]]*Tableau3[[#This Row],[P.U.]]</f>
        <v>0</v>
      </c>
      <c r="J2738" s="184"/>
    </row>
    <row r="2739" spans="1:10" ht="19.350000000000001" customHeight="1">
      <c r="A2739" s="102"/>
      <c r="B2739" s="102"/>
      <c r="C2739" s="116"/>
      <c r="F2739" s="107"/>
      <c r="G2739" s="10"/>
      <c r="H2739" s="103"/>
      <c r="I2739" s="108">
        <f>Tableau3[[#This Row],[Stock final]]*Tableau3[[#This Row],[P.U.]]</f>
        <v>0</v>
      </c>
      <c r="J2739" s="184"/>
    </row>
    <row r="2740" spans="1:10" ht="19.350000000000001" customHeight="1">
      <c r="A2740" s="102"/>
      <c r="B2740" s="102"/>
      <c r="C2740" s="116"/>
      <c r="F2740" s="107"/>
      <c r="G2740" s="10"/>
      <c r="H2740" s="103"/>
      <c r="I2740" s="108">
        <f>Tableau3[[#This Row],[Stock final]]*Tableau3[[#This Row],[P.U.]]</f>
        <v>0</v>
      </c>
      <c r="J2740" s="184"/>
    </row>
    <row r="2741" spans="1:10" ht="19.350000000000001" customHeight="1">
      <c r="A2741" s="102"/>
      <c r="B2741" s="102"/>
      <c r="C2741" s="116"/>
      <c r="F2741" s="107"/>
      <c r="G2741" s="10"/>
      <c r="H2741" s="103"/>
      <c r="I2741" s="108">
        <f>Tableau3[[#This Row],[Stock final]]*Tableau3[[#This Row],[P.U.]]</f>
        <v>0</v>
      </c>
      <c r="J2741" s="184"/>
    </row>
    <row r="2742" spans="1:10" ht="19.350000000000001" customHeight="1">
      <c r="A2742" s="102"/>
      <c r="B2742" s="102"/>
      <c r="C2742" s="116"/>
      <c r="F2742" s="107"/>
      <c r="G2742" s="10"/>
      <c r="H2742" s="103"/>
      <c r="I2742" s="108">
        <f>Tableau3[[#This Row],[Stock final]]*Tableau3[[#This Row],[P.U.]]</f>
        <v>0</v>
      </c>
      <c r="J2742" s="184"/>
    </row>
    <row r="2743" spans="1:10" ht="19.350000000000001" customHeight="1">
      <c r="A2743" s="102"/>
      <c r="B2743" s="102"/>
      <c r="C2743" s="116"/>
      <c r="F2743" s="107"/>
      <c r="G2743" s="10"/>
      <c r="H2743" s="103"/>
      <c r="I2743" s="108">
        <f>Tableau3[[#This Row],[Stock final]]*Tableau3[[#This Row],[P.U.]]</f>
        <v>0</v>
      </c>
      <c r="J2743" s="184"/>
    </row>
    <row r="2744" spans="1:10" ht="19.350000000000001" customHeight="1">
      <c r="A2744" s="102"/>
      <c r="B2744" s="102"/>
      <c r="C2744" s="116"/>
      <c r="F2744" s="107"/>
      <c r="G2744" s="10"/>
      <c r="H2744" s="103"/>
      <c r="I2744" s="108">
        <f>Tableau3[[#This Row],[Stock final]]*Tableau3[[#This Row],[P.U.]]</f>
        <v>0</v>
      </c>
      <c r="J2744" s="184"/>
    </row>
  </sheetData>
  <phoneticPr fontId="37" type="noConversion"/>
  <dataValidations disablePrompts="1" count="14">
    <dataValidation type="custom" allowBlank="1" showInputMessage="1" showErrorMessage="1" sqref="P1:P2" xr:uid="{4BFDBE53-E156-4DFA-9A5C-6D6CC6718E2D}">
      <formula1>G4&gt;=0</formula1>
    </dataValidation>
    <dataValidation type="custom" allowBlank="1" showInputMessage="1" showErrorMessage="1" sqref="N163:N226 O94:O125 O157:O162 O227:O1074 P1075:P1048576" xr:uid="{F82403AF-3935-459B-A170-E53D6DB9B470}">
      <formula1>#REF!&gt;=0</formula1>
    </dataValidation>
    <dataValidation type="custom" allowBlank="1" showInputMessage="1" showErrorMessage="1" sqref="O128" xr:uid="{86606422-AD18-4DC8-A286-E7C3B885AC75}">
      <formula1>G18&gt;=0</formula1>
    </dataValidation>
    <dataValidation type="custom" allowBlank="1" showInputMessage="1" showErrorMessage="1" sqref="O126:O127" xr:uid="{CC330E06-7994-4F9B-B761-E98386373DDA}">
      <formula1>G18&gt;=0</formula1>
    </dataValidation>
    <dataValidation type="custom" allowBlank="1" showInputMessage="1" showErrorMessage="1" sqref="O153" xr:uid="{5F9FB41C-2A44-4332-8CF0-C1B455F17099}">
      <formula1>G20&gt;=0</formula1>
    </dataValidation>
    <dataValidation type="custom" allowBlank="1" showInputMessage="1" showErrorMessage="1" sqref="O154:O155" xr:uid="{840725FD-C52D-4670-B9F1-E034E015F865}">
      <formula1>G19&gt;=0</formula1>
    </dataValidation>
    <dataValidation type="custom" allowBlank="1" showInputMessage="1" showErrorMessage="1" sqref="O156" xr:uid="{BE1820AD-EB2A-4F90-8451-217746A330A5}">
      <formula1>G20&gt;=0</formula1>
    </dataValidation>
    <dataValidation type="custom" allowBlank="1" showInputMessage="1" showErrorMessage="1" sqref="O86:O93" xr:uid="{F3B9433A-19D0-4DFB-AD03-99E5D1D81D8C}">
      <formula1>G10&gt;=0</formula1>
    </dataValidation>
    <dataValidation type="custom" allowBlank="1" showInputMessage="1" showErrorMessage="1" sqref="O151:O152" xr:uid="{41D27DD0-EFD8-49BB-931E-3F1A68FA8A47}">
      <formula1>G19&gt;=0</formula1>
    </dataValidation>
    <dataValidation type="custom" allowBlank="1" showInputMessage="1" showErrorMessage="1" sqref="O145:O150" xr:uid="{36FC6BB5-1204-4F6C-AC53-2969802CCAC0}">
      <formula1>G23&gt;=0</formula1>
    </dataValidation>
    <dataValidation type="custom" allowBlank="1" showInputMessage="1" showErrorMessage="1" sqref="O129:O134" xr:uid="{44737A0F-7E4E-4A54-9310-48BA6765CC1C}">
      <formula1>G18&gt;=0</formula1>
    </dataValidation>
    <dataValidation type="custom" allowBlank="1" showInputMessage="1" showErrorMessage="1" sqref="O135:O144" xr:uid="{F2D66B01-4898-43F5-9B7C-3568B100F703}">
      <formula1>G19&gt;=0</formula1>
    </dataValidation>
    <dataValidation type="list" allowBlank="1" showInputMessage="1" showErrorMessage="1" sqref="L19:L37 L66:L85 L5:L17 L39:L52 L54:L64" xr:uid="{A7A3918C-317C-4297-AA15-C952521039BE}">
      <formula1>$B$4:$B$1242</formula1>
    </dataValidation>
    <dataValidation type="list" allowBlank="1" showInputMessage="1" showErrorMessage="1" sqref="L4" xr:uid="{46B26155-1E09-4166-AF9D-9C7B44C098EB}">
      <formula1>$C$4:$C$2744</formula1>
    </dataValidation>
  </dataValidations>
  <printOptions horizontalCentered="1" verticalCentered="1" headings="1"/>
  <pageMargins left="0.70866141732283472" right="0.70866141732283472" top="0.74803149606299213" bottom="0.74803149606299213" header="0.31496062992125984" footer="0.31496062992125984"/>
  <pageSetup paperSize="9" scale="28" fitToHeight="0" orientation="portrait" r:id="rId1"/>
  <headerFooter>
    <oddHeader>&amp;CPage &amp;P</oddHeader>
  </headerFooter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du 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Info</dc:creator>
  <cp:keywords/>
  <dc:description/>
  <cp:lastModifiedBy>quentin martinez</cp:lastModifiedBy>
  <cp:revision/>
  <cp:lastPrinted>2026-07-07T04:49:04Z</cp:lastPrinted>
  <dcterms:created xsi:type="dcterms:W3CDTF">2023-02-01T08:33:03Z</dcterms:created>
  <dcterms:modified xsi:type="dcterms:W3CDTF">2026-07-07T04:49:13Z</dcterms:modified>
  <cp:category/>
  <cp:contentStatus/>
</cp:coreProperties>
</file>